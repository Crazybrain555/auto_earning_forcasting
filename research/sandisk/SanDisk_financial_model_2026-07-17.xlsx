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Historicals" sheetId="3" state="visible" r:id="rId5"/>
    <sheet name="Drivers" sheetId="4" state="visible" r:id="rId6"/>
    <sheet name="Scenarios" sheetId="5" state="visible" r:id="rId7"/>
    <sheet name="Forecast" sheetId="6" state="visible" r:id="rId8"/>
    <sheet name="Quarterly" sheetId="7" state="visible" r:id="rId9"/>
    <sheet name="Valuation" sheetId="8" state="visible" r:id="rId10"/>
    <sheet name="Sources" sheetId="9" state="visible" r:id="rId11"/>
  </sheets>
  <definedNames>
    <definedName function="false" hidden="true" localSheetId="8" name="_xlnm._FilterDatabase" vbProcedure="false">Sources!$A$3:$H$34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F4" authorId="0">
      <text>
        <r>
          <rPr>
            <sz val="10"/>
            <rFont val="Arial"/>
            <family val="2"/>
          </rPr>
          <t xml:space="preserve">FY2026E combines reported 9M actual with management's Q4 revenue guidance midpoint; it is not a reported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<sst xmlns="http://schemas.openxmlformats.org/spreadsheetml/2006/main" count="686" uniqueCount="365">
  <si>
    <t xml:space="preserve">SanDisk (NASDAQ: SNDK) financial model</t>
  </si>
  <si>
    <t xml:space="preserve">FY2026E-FY2030E | USD | cutoff 2026-07-17 12:23 ET intraday | status: screen-grade</t>
  </si>
  <si>
    <t xml:space="preserve">Research status</t>
  </si>
  <si>
    <t xml:space="preserve">Screen-grade</t>
  </si>
  <si>
    <t xml:space="preserve">Information cutoff</t>
  </si>
  <si>
    <t xml:space="preserve">2026-07-17 12:23 ET</t>
  </si>
  <si>
    <t xml:space="preserve">Current price</t>
  </si>
  <si>
    <t xml:space="preserve">Market capitalization</t>
  </si>
  <si>
    <t xml:space="preserve">Enterprise value</t>
  </si>
  <si>
    <t xml:space="preserve">Base-case operating forecast</t>
  </si>
  <si>
    <t xml:space="preserve">Metric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</si>
  <si>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</si>
  <si>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</si>
  <si>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</si>
  <si>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</si>
  <si>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</si>
  <si>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</t>
  </si>
  <si>
    <t xml:space="preserve">Net income</t>
  </si>
  <si>
    <t xml:space="preserve">Diluted EPS</t>
  </si>
  <si>
    <t xml:space="preserve">Gross margin</t>
  </si>
  <si>
    <t xml:space="preserve">Scenario valuation</t>
  </si>
  <si>
    <t xml:space="preserve">Scenario</t>
  </si>
  <si>
    <t xml:space="preserve">Probability</t>
  </si>
  <si>
    <t xml:space="preserve">FY27 EPS</t>
  </si>
  <si>
    <t xml:space="preserve">FY29-30 avg EPS</t>
  </si>
  <si>
    <t xml:space="preserve">Fair value/share</t>
  </si>
  <si>
    <t xml:space="preserve">vs. price</t>
  </si>
  <si>
    <t xml:space="preserve">Bear</t>
  </si>
  <si>
    <t xml:space="preserve">Base</t>
  </si>
  <si>
    <t xml:space="preserve">Bull</t>
  </si>
  <si>
    <t xml:space="preserve">Probability-weighted</t>
  </si>
  <si>
    <t xml:space="preserve">Investor read-through</t>
  </si>
  <si>
    <t xml:space="preserve">1.</t>
  </si>
  <si>
    <t xml:space="preserve">FY2026E is not reported actual: it combines FY2026 9M actuals with management's Q4 guidance midpoint.</t>
  </si>
  <si>
    <t xml:space="preserve">2.</t>
  </si>
  <si>
    <t xml:space="preserve">Q3 growth was primarily price/mix driven; the model explicitly normalizes ASP and gross margin after FY2027.</t>
  </si>
  <si>
    <t xml:space="preserve">3.</t>
  </si>
  <si>
    <t xml:space="preserve">The current price embeds either a low multiple on peak FY2027 earnings or a durable $41.5-$47.4bn normalized-revenue outcome.</t>
  </si>
  <si>
    <t xml:space="preserve">4.</t>
  </si>
  <si>
    <t xml:space="preserve">RPO and NBM contracts improve visibility but do not eliminate delivery, repricing, customer and supply risks.</t>
  </si>
  <si>
    <t xml:space="preserve">5.</t>
  </si>
  <si>
    <t xml:space="preserve">BiCS10 is stage-gated: no material base-case revenue before FY2028; HBF is excluded from base-case revenue.</t>
  </si>
  <si>
    <t xml:space="preserve">SanDisk assumptions register</t>
  </si>
  <si>
    <t xml:space="preserve">Blue cells are explicit inputs; model formulas reference this sheet.</t>
  </si>
  <si>
    <t xml:space="preserve">Assumption</t>
  </si>
  <si>
    <t xml:space="preserve">Value</t>
  </si>
  <si>
    <t xml:space="preserve">Unit</t>
  </si>
  <si>
    <t xml:space="preserve">Type</t>
  </si>
  <si>
    <t xml:space="preserve">Source / rationale</t>
  </si>
  <si>
    <t xml:space="preserve">Trigger or limitation</t>
  </si>
  <si>
    <t xml:space="preserve">$/share</t>
  </si>
  <si>
    <t xml:space="preserve">Observed</t>
  </si>
  <si>
    <t xml:space="preserve">S18; Nasdaq 2026-07-17 12:23 ET</t>
  </si>
  <si>
    <t xml:space="preserve">Intraday, not close</t>
  </si>
  <si>
    <t xml:space="preserve">Basic shares outstanding</t>
  </si>
  <si>
    <t xml:space="preserve">mm</t>
  </si>
  <si>
    <t xml:space="preserve">Reported</t>
  </si>
  <si>
    <t xml:space="preserve">S6; as of 2026-04-24</t>
  </si>
  <si>
    <t xml:space="preserve">May change after buybacks</t>
  </si>
  <si>
    <t xml:space="preserve">Cash</t>
  </si>
  <si>
    <t xml:space="preserve">$mm</t>
  </si>
  <si>
    <t xml:space="preserve">S6; 2026-04-03</t>
  </si>
  <si>
    <t xml:space="preserve">Predates Nanya investment</t>
  </si>
  <si>
    <t xml:space="preserve">Debt</t>
  </si>
  <si>
    <t xml:space="preserve">S6; term loan repaid</t>
  </si>
  <si>
    <t xml:space="preserve">Flash Ventures commitments remain</t>
  </si>
  <si>
    <t xml:space="preserve">Nanya cash payment</t>
  </si>
  <si>
    <t xml:space="preserve">S6 subsequent event</t>
  </si>
  <si>
    <t xml:space="preserve">Investment can also be treated as non-operating asset</t>
  </si>
  <si>
    <t xml:space="preserve">Last completed close</t>
  </si>
  <si>
    <t xml:space="preserve">S19; 2026-07-16</t>
  </si>
  <si>
    <t xml:space="preserve">Included as reference only</t>
  </si>
  <si>
    <t xml:space="preserve">Q4 FY26 revenue midpoint</t>
  </si>
  <si>
    <t xml:space="preserve">Guidance</t>
  </si>
  <si>
    <t xml:space="preserve">S5; range $7.75-$8.25bn</t>
  </si>
  <si>
    <t xml:space="preserve">Not reported actual</t>
  </si>
  <si>
    <t xml:space="preserve">Q4 FY26 GAAP gross margin midpoint</t>
  </si>
  <si>
    <t xml:space="preserve">%</t>
  </si>
  <si>
    <t xml:space="preserve">S5; range 78.9%-80.9%</t>
  </si>
  <si>
    <t xml:space="preserve">Q4 FY26 GAAP opex midpoint</t>
  </si>
  <si>
    <t xml:space="preserve">S5; range $523-$558mm</t>
  </si>
  <si>
    <t xml:space="preserve">Q4 FY26 other income midpoint</t>
  </si>
  <si>
    <t xml:space="preserve">S5; range $12-$32mm</t>
  </si>
  <si>
    <t xml:space="preserve">FY26E full-year tax rate</t>
  </si>
  <si>
    <t xml:space="preserve">Model</t>
  </si>
  <si>
    <t xml:space="preserve">Calibrated from 9M actual; Q4 GAAP tax not guided</t>
  </si>
  <si>
    <t xml:space="preserve">Sensitivity required</t>
  </si>
  <si>
    <t xml:space="preserve">FY26E diluted shares</t>
  </si>
  <si>
    <t xml:space="preserve">9M 154mm; Q4 guide about 158mm</t>
  </si>
  <si>
    <t xml:space="preserve">Buyback execution unknown</t>
  </si>
  <si>
    <t xml:space="preserve">FY26 average ASP index</t>
  </si>
  <si>
    <t xml:space="preserve">index</t>
  </si>
  <si>
    <t xml:space="preserve">Q3 FY26 = 100 anchor</t>
  </si>
  <si>
    <t xml:space="preserve">No absolute ASP/GB disclosed</t>
  </si>
  <si>
    <t xml:space="preserve">Q4 FY26 Datacenter revenue share</t>
  </si>
  <si>
    <t xml:space="preserve">Q3 mix plus enterprise demand</t>
  </si>
  <si>
    <t xml:space="preserve">No company Q4 segment guide</t>
  </si>
  <si>
    <t xml:space="preserve">Q4 FY26 Edge revenue share</t>
  </si>
  <si>
    <t xml:space="preserve">Residual demand mix</t>
  </si>
  <si>
    <t xml:space="preserve">Q4 FY26 Consumer revenue share</t>
  </si>
  <si>
    <t xml:space="preserve">Q3 mix and price elasticity</t>
  </si>
  <si>
    <t xml:space="preserve">FY26E D&amp;A proxy</t>
  </si>
  <si>
    <t xml:space="preserve">9M cash-flow disclosure plus Q4 estimate</t>
  </si>
  <si>
    <t xml:space="preserve">JV structure limits peer comparability</t>
  </si>
  <si>
    <t xml:space="preserve">Selected scenario</t>
  </si>
  <si>
    <t xml:space="preserve">text</t>
  </si>
  <si>
    <t xml:space="preserve">Central operating path</t>
  </si>
  <si>
    <t xml:space="preserve">Change only with explicit model revision</t>
  </si>
  <si>
    <t xml:space="preserve">Transition valuation weight</t>
  </si>
  <si>
    <t xml:space="preserve">Balances FY27 peak/transition earnings</t>
  </si>
  <si>
    <t xml:space="preserve">Not a market fact</t>
  </si>
  <si>
    <t xml:space="preserve">Normalized valuation weight</t>
  </si>
  <si>
    <t xml:space="preserve">Balances FY29-FY30 earnings</t>
  </si>
  <si>
    <t xml:space="preserve">FY26E non-GAAP EPS</t>
  </si>
  <si>
    <t xml:space="preserve">Derived</t>
  </si>
  <si>
    <t xml:space="preserve">9M $31.32 + Q4 guide midpoint $31.50</t>
  </si>
  <si>
    <t xml:space="preserve">Mixed actual and guidance</t>
  </si>
  <si>
    <t xml:space="preserve">Q4 FY26 diluted shares guide</t>
  </si>
  <si>
    <t xml:space="preserve">S5; approximately 158mm</t>
  </si>
  <si>
    <t xml:space="preserve">Scenario valuation assumptions</t>
  </si>
  <si>
    <t xml:space="preserve">Rationale</t>
  </si>
  <si>
    <t xml:space="preserve">Transition P/E</t>
  </si>
  <si>
    <t xml:space="preserve">x</t>
  </si>
  <si>
    <t xml:space="preserve">Peak-cycle earnings receive a lower multiple</t>
  </si>
  <si>
    <t xml:space="preserve">Normalized P/E</t>
  </si>
  <si>
    <t xml:space="preserve">Long-term contract validation and balance sheet support the range</t>
  </si>
  <si>
    <t xml:space="preserve">Excess cash / share</t>
  </si>
  <si>
    <t xml:space="preserve">Scenario treatment of cash, buyback and strategic investment</t>
  </si>
  <si>
    <t xml:space="preserve">SanDisk historical financials</t>
  </si>
  <si>
    <t xml:space="preserve">$mm except per-share data; FY2026E is 9M actual plus Q4 guidance midpoint.</t>
  </si>
  <si>
    <t xml:space="preserve">FY2023A</t>
  </si>
  <si>
    <t xml:space="preserve">FY2024A</t>
  </si>
  <si>
    <t xml:space="preserve">FY2025A</t>
  </si>
  <si>
    <t xml:space="preserve">FY2026 9M A</t>
  </si>
  <si>
    <t xml:space="preserve">Gross profit</t>
  </si>
  <si>
    <t xml:space="preserve">Operating expenses</t>
  </si>
  <si>
    <t xml:space="preserve">Operating income</t>
  </si>
  <si>
    <t xml:space="preserve">Interest and other, net</t>
  </si>
  <si>
    <t xml:space="preserve">Pretax income</t>
  </si>
  <si>
    <t xml:space="preserve">Income taxes</t>
  </si>
  <si>
    <t xml:space="preserve">Diluted shares</t>
  </si>
  <si>
    <t xml:space="preserve">Operating cash flow</t>
  </si>
  <si>
    <t xml:space="preserve">PP&amp;E purchases</t>
  </si>
  <si>
    <t xml:space="preserve">Datacenter / Cloud revenue</t>
  </si>
  <si>
    <t xml:space="preserve">Edge / Client revenue</t>
  </si>
  <si>
    <t xml:space="preserve">Consumer revenue</t>
  </si>
  <si>
    <t xml:space="preserve">Perimeter note</t>
  </si>
  <si>
    <t xml:space="preserve">FY2023-FY2025 include carve-out allocations from Western Digital; pre-separation operating expenses are not fully comparable with standalone SanDisk.</t>
  </si>
  <si>
    <t xml:space="preserve">SanDisk scenario drivers</t>
  </si>
  <si>
    <t xml:space="preserve">Q3 FY2026 ASP/GB and cost/GB are indexed to 100. All FY2027-FY2030 inputs are explicit scenarios, not guidance.</t>
  </si>
  <si>
    <t xml:space="preserve">Driver</t>
  </si>
  <si>
    <t xml:space="preserve">Bit shipment growth</t>
  </si>
  <si>
    <t xml:space="preserve">ASP / GB index</t>
  </si>
  <si>
    <t xml:space="preserve">Cost / GB index</t>
  </si>
  <si>
    <t xml:space="preserve">Interest and other income</t>
  </si>
  <si>
    <t xml:space="preserve">Tax rate</t>
  </si>
  <si>
    <t xml:space="preserve">Datacenter revenue share</t>
  </si>
  <si>
    <t xml:space="preserve">Edge revenue share</t>
  </si>
  <si>
    <t xml:space="preserve">Consumer revenue share</t>
  </si>
  <si>
    <t xml:space="preserve">Driver logic</t>
  </si>
  <si>
    <t xml:space="preserve">Revenue = prior-year revenue x (1 + bit growth) x (current ASP index / prior ASP index). Gross margin is separately calibrated to ASP, cost/GB, mix and utilization because absolute company cost/GB is not disclosed.</t>
  </si>
  <si>
    <t xml:space="preserve">SanDisk bear / base / bull scenarios</t>
  </si>
  <si>
    <t xml:space="preserve">$mm except per-share data. Probabilities are explicit judgment weights, not statistical frequencies.</t>
  </si>
  <si>
    <t xml:space="preserve">Total</t>
  </si>
  <si>
    <t xml:space="preserve">Interpretation</t>
  </si>
  <si>
    <t xml:space="preserve">Bear is a supply-led price reset; Base assumes FY27 tightness followed by price normalization; Bull assumes durable AI/datacenter scarcity plus successful enterprise SSD execution.</t>
  </si>
  <si>
    <t xml:space="preserve">SanDisk base-case annual forecast</t>
  </si>
  <si>
    <t xml:space="preserve">$mm except per-share data. FY2026E is mixed actual/guidance; FY2027E-FY2030E are explicit model estimates.</t>
  </si>
  <si>
    <t xml:space="preserve">EBITDA proxy</t>
  </si>
  <si>
    <t xml:space="preserve">Datacenter revenue</t>
  </si>
  <si>
    <t xml:space="preserve">Edge revenue</t>
  </si>
  <si>
    <t xml:space="preserve">Caveat</t>
  </si>
  <si>
    <t xml:space="preserve">The gross-margin path is an explicit cycle/contract/mix calibration. Q3/Q4 FY2026 scarcity margins are not treated as a permanent cost structure.</t>
  </si>
  <si>
    <t xml:space="preserve">FY2027 quarterly scenario schedule</t>
  </si>
  <si>
    <t xml:space="preserve">$mm except per-share data. Quarterly shapes are model assumptions and reconcile to each FY2027 scenario.</t>
  </si>
  <si>
    <t xml:space="preserve">Q1 FY27E</t>
  </si>
  <si>
    <t xml:space="preserve">Q2 FY27E</t>
  </si>
  <si>
    <t xml:space="preserve">Q3 FY27E</t>
  </si>
  <si>
    <t xml:space="preserve">Q4 FY27E</t>
  </si>
  <si>
    <t xml:space="preserve">Other income</t>
  </si>
  <si>
    <t xml:space="preserve">SanDisk current and normalized valuation</t>
  </si>
  <si>
    <t xml:space="preserve">$mm except per-share data. Current price is 2026-07-17 12:23 ET intraday, not a close.</t>
  </si>
  <si>
    <t xml:space="preserve">Definition</t>
  </si>
  <si>
    <t xml:space="preserve">Nasdaq intraday</t>
  </si>
  <si>
    <t xml:space="preserve">SEC actual shares</t>
  </si>
  <si>
    <t xml:space="preserve">Price x basic shares</t>
  </si>
  <si>
    <t xml:space="preserve">Latest reported cash</t>
  </si>
  <si>
    <t xml:space="preserve">Latest reported debt</t>
  </si>
  <si>
    <t xml:space="preserve">Market cap + debt - cash</t>
  </si>
  <si>
    <t xml:space="preserve">Pro forma EV after Nanya cash payment</t>
  </si>
  <si>
    <t xml:space="preserve">Conservative cash-only treatment</t>
  </si>
  <si>
    <t xml:space="preserve">FY2026E revenue</t>
  </si>
  <si>
    <t xml:space="preserve">9M actual + Q4 guide midpoint</t>
  </si>
  <si>
    <t xml:space="preserve">FY2026E GAAP net income</t>
  </si>
  <si>
    <t xml:space="preserve">Model estimate</t>
  </si>
  <si>
    <t xml:space="preserve">FY2026E GAAP diluted EPS</t>
  </si>
  <si>
    <t xml:space="preserve">FY2026E non-GAAP diluted EPS</t>
  </si>
  <si>
    <t xml:space="preserve">FY2026E EBITDA proxy</t>
  </si>
  <si>
    <t xml:space="preserve">Operating income + D&amp;A proxy</t>
  </si>
  <si>
    <t xml:space="preserve">Current P/E on GAAP FY2026E</t>
  </si>
  <si>
    <t xml:space="preserve">Price / model EPS</t>
  </si>
  <si>
    <t xml:space="preserve">Current P/E on non-GAAP FY2026E</t>
  </si>
  <si>
    <t xml:space="preserve">Price / mixed actual-guide EPS</t>
  </si>
  <si>
    <t xml:space="preserve">EV / sales</t>
  </si>
  <si>
    <t xml:space="preserve">EV / FY2026E revenue</t>
  </si>
  <si>
    <t xml:space="preserve">EV / EBITDA proxy</t>
  </si>
  <si>
    <t xml:space="preserve">JV accounting limits peer comparison</t>
  </si>
  <si>
    <t xml:space="preserve">Scenario fair value</t>
  </si>
  <si>
    <t xml:space="preserve">Excess cash/share</t>
  </si>
  <si>
    <t xml:space="preserve">Probability-weighted fair value</t>
  </si>
  <si>
    <t xml:space="preserve">Upside / (downside) to intraday price</t>
  </si>
  <si>
    <t xml:space="preserve">Current-price reverse valuation</t>
  </si>
  <si>
    <t xml:space="preserve">Implied EPS</t>
  </si>
  <si>
    <t xml:space="preserve">Implied net income</t>
  </si>
  <si>
    <t xml:space="preserve">Revenue @30% NM</t>
  </si>
  <si>
    <t xml:space="preserve">Revenue @35% NM</t>
  </si>
  <si>
    <t xml:space="preserve">Revenue @40% NM</t>
  </si>
  <si>
    <t xml:space="preserve">At 14x and 35%-40% normalized net margin, the current price implies sustainable revenue of roughly $41.5-$47.4bn, more than 2x FY2026E guidance-midpoint revenue.</t>
  </si>
  <si>
    <t xml:space="preserve">Source manifest</t>
  </si>
  <si>
    <t xml:space="preserve">Evidence hierarchy: E0 filing/official observed data; E1 issuer primary; E3 reputable third-party estimate. Retrieval cutoff 2026-07-17 12:23 ET.</t>
  </si>
  <si>
    <t xml:space="preserve">Source ID</t>
  </si>
  <si>
    <t xml:space="preserve">Publisher</t>
  </si>
  <si>
    <t xml:space="preserve">Title</t>
  </si>
  <si>
    <t xml:space="preserve">Published</t>
  </si>
  <si>
    <t xml:space="preserve">Tier</t>
  </si>
  <si>
    <t xml:space="preserve">Metric / use</t>
  </si>
  <si>
    <t xml:space="preserve">URL</t>
  </si>
  <si>
    <t xml:space="preserve">Limitations</t>
  </si>
  <si>
    <t xml:space="preserve">S001</t>
  </si>
  <si>
    <t xml:space="preserve">SanDisk Corporation</t>
  </si>
  <si>
    <t xml:space="preserve">Form 10-K FY2025</t>
  </si>
  <si>
    <t xml:space="preserve">2025-08-21</t>
  </si>
  <si>
    <t xml:space="preserve">E0</t>
  </si>
  <si>
    <t xml:space="preserve">GAAP income statement</t>
  </si>
  <si>
    <t xml:space="preserve">https://www.sec.gov/Archives/edgar/data/2023554/000202355425000034/sndk-20250627.htm</t>
  </si>
  <si>
    <t xml:space="preserve">Carve-out period before separation; allocated Western Digital costs may not equal standalone economics</t>
  </si>
  <si>
    <t xml:space="preserve">S002</t>
  </si>
  <si>
    <t xml:space="preserve">S003</t>
  </si>
  <si>
    <t xml:space="preserve">Includes pre- and post-separation months and large noncash goodwill impairment</t>
  </si>
  <si>
    <t xml:space="preserve">S004</t>
  </si>
  <si>
    <t xml:space="preserve">Revenue by end market</t>
  </si>
  <si>
    <t xml:space="preserve">Cloud renamed Datacenter and Client renamed Edge in FY2026; labels normalized only in the model</t>
  </si>
  <si>
    <t xml:space="preserve">S005</t>
  </si>
  <si>
    <t xml:space="preserve">Separation and fiscal-calendar perimeter</t>
  </si>
  <si>
    <t xml:space="preserve">Historical comparability is limited by the carve-out basis and separation transition</t>
  </si>
  <si>
    <t xml:space="preserve">S006</t>
  </si>
  <si>
    <t xml:space="preserve">SanDisk Reports Fiscal Fourth Quarter and Fiscal Year 2025 Financial Results</t>
  </si>
  <si>
    <t xml:space="preserve">2025-08-14</t>
  </si>
  <si>
    <t xml:space="preserve">E1</t>
  </si>
  <si>
    <t xml:space="preserve">Company non-GAAP annual metrics</t>
  </si>
  <si>
    <t xml:space="preserve">https://investor.sandisk.com/news-releases/news-release-details/sandisk-reports-fiscal-fourth-quarter-and-fiscal-year-2025</t>
  </si>
  <si>
    <t xml:space="preserve">Non-GAAP definitions are company-defined and are supplemental to GAAP; no like-for-like FY2023 adjusted series used</t>
  </si>
  <si>
    <t xml:space="preserve">S007</t>
  </si>
  <si>
    <t xml:space="preserve">SanDisk Reports Fiscal First Quarter 2026 Financial Results</t>
  </si>
  <si>
    <t xml:space="preserve">2025-11-06</t>
  </si>
  <si>
    <t xml:space="preserve">Quarterly GAAP and non-GAAP results</t>
  </si>
  <si>
    <t xml:space="preserve">https://investor.sandisk.com/news-releases/news-release-details/sandisk-reports-fiscal-first-quarter-2026-financial-results</t>
  </si>
  <si>
    <t xml:space="preserve">Company earnings release; FY2026 Q1 has 14 weeks</t>
  </si>
  <si>
    <t xml:space="preserve">S008</t>
  </si>
  <si>
    <t xml:space="preserve">End-market revenue and free cash flow</t>
  </si>
  <si>
    <t xml:space="preserve">Company-defined free cash flow excludes no separately modeled Flash Ventures adjustment in this quarter row</t>
  </si>
  <si>
    <t xml:space="preserve">S009</t>
  </si>
  <si>
    <t xml:space="preserve">SanDisk Reports Fiscal Second Quarter 2026 Financial Results</t>
  </si>
  <si>
    <t xml:space="preserve">2026-01-29</t>
  </si>
  <si>
    <t xml:space="preserve">https://investor.sandisk.com/news-releases/news-release-details/sandisk-reports-fiscal-second-quarter-2026-financial-results</t>
  </si>
  <si>
    <t xml:space="preserve">Company earnings release; non-GAAP figures are supplemental</t>
  </si>
  <si>
    <t xml:space="preserve">S010</t>
  </si>
  <si>
    <t xml:space="preserve">Quarter-only values as presented in the company release</t>
  </si>
  <si>
    <t xml:space="preserve">S011</t>
  </si>
  <si>
    <t xml:space="preserve">SanDisk Reports Fiscal Third Quarter 2026 Financial Results</t>
  </si>
  <si>
    <t xml:space="preserve">2026-04-30</t>
  </si>
  <si>
    <t xml:space="preserve">https://investor.sandisk.com/news-releases/news-release-details/sandisk-reports-fiscal-third-quarter-2026-financial-results</t>
  </si>
  <si>
    <t xml:space="preserve">Peak-cycle quarter; should not be assumed to represent normalized economics</t>
  </si>
  <si>
    <t xml:space="preserve">S012</t>
  </si>
  <si>
    <t xml:space="preserve">Quarterly end-market mix can be volatile because NAND pricing and shipments both change</t>
  </si>
  <si>
    <t xml:space="preserve">S013</t>
  </si>
  <si>
    <t xml:space="preserve">Form 10-Q for quarter ended 2026-04-03</t>
  </si>
  <si>
    <t xml:space="preserve">2026-05-01</t>
  </si>
  <si>
    <t xml:space="preserve">ASP per GB and exabyte growth</t>
  </si>
  <si>
    <t xml:space="preserve">https://www.sec.gov/Archives/edgar/data/2023554/000162828026029401/sndk-20260403.htm</t>
  </si>
  <si>
    <t xml:space="preserve">YoY percentages are not sequential price indexes; mix effects and contract timing limit direct use in annual forecasts</t>
  </si>
  <si>
    <t xml:space="preserve">S014</t>
  </si>
  <si>
    <t xml:space="preserve">Nine-month GAAP results</t>
  </si>
  <si>
    <t xml:space="preserve">FY2026 full-year estimate still requires an assumed Q4 because actual Q4 was not published by the cutoff</t>
  </si>
  <si>
    <t xml:space="preserve">S015</t>
  </si>
  <si>
    <t xml:space="preserve">Balance sheet</t>
  </si>
  <si>
    <t xml:space="preserve">Balance-sheet date precedes the 972 Nanya payment on 2026-04-08</t>
  </si>
  <si>
    <t xml:space="preserve">S016</t>
  </si>
  <si>
    <t xml:space="preserve">Inventory composition and days inventory</t>
  </si>
  <si>
    <t xml:space="preserve">Management described inventory build as supporting demand; DIO can also signal cycle risk</t>
  </si>
  <si>
    <t xml:space="preserve">S017</t>
  </si>
  <si>
    <t xml:space="preserve">Cash flow and capital spending</t>
  </si>
  <si>
    <t xml:space="preserve">Flash Ventures activity is economically important and must be shown separately from conventional PP&amp;E capex</t>
  </si>
  <si>
    <t xml:space="preserve">S018</t>
  </si>
  <si>
    <t xml:space="preserve">Contract liabilities and remaining performance obligations</t>
  </si>
  <si>
    <t xml:space="preserve">RPO is not equivalent to firm near-term revenue; most is unbilled and timing or cancellation provisions may apply</t>
  </si>
  <si>
    <t xml:space="preserve">S019</t>
  </si>
  <si>
    <t xml:space="preserve">Commitments and subsequent Nanya payment</t>
  </si>
  <si>
    <t xml:space="preserve">Nanya stake value is not treated as cash; commitment totals include direct payments and are not all conventional capex</t>
  </si>
  <si>
    <t xml:space="preserve">S020</t>
  </si>
  <si>
    <t xml:space="preserve">Company guidance</t>
  </si>
  <si>
    <t xml:space="preserve">Forward-looking guidance is uncertain; tax and EPS guidance is non-GAAP and is not substituted for GAAP actuals</t>
  </si>
  <si>
    <t xml:space="preserve">S021</t>
  </si>
  <si>
    <t xml:space="preserve">SanDisk to Report Fiscal Fourth Quarter and Fiscal Year 2026 Financial Results</t>
  </si>
  <si>
    <t xml:space="preserve">2026-07-09</t>
  </si>
  <si>
    <t xml:space="preserve">Next scheduled earnings release</t>
  </si>
  <si>
    <t xml:space="preserve">https://investor.sandisk.com/news-releases/news-release-details/sandisk-report-fiscal-fourth-quarter-and-fiscal-year-2026</t>
  </si>
  <si>
    <t xml:space="preserve">Confirms no FY2026 Q4 actual was available by the 2026-07-17 cutoff</t>
  </si>
  <si>
    <t xml:space="preserve">S022</t>
  </si>
  <si>
    <t xml:space="preserve">BiCS10 enterprise SSD stage gate</t>
  </si>
  <si>
    <t xml:space="preserve">Sampling is not production qualification, volume ramp, revenue, or proven economics</t>
  </si>
  <si>
    <t xml:space="preserve">S023</t>
  </si>
  <si>
    <t xml:space="preserve">Kioxia and SanDisk Extend Yokkaichi Joint Venture Agreement</t>
  </si>
  <si>
    <t xml:space="preserve">Flash Ventures agreement and payments</t>
  </si>
  <si>
    <t xml:space="preserve">https://investor.sandisk.com/news-releases/news-release-details/kioxia-and-sandisk-extend-yokkaichi-joint-venture-agreement</t>
  </si>
  <si>
    <t xml:space="preserve">Contract commitment supports access to capacity but is not equivalent to SanDisk-owned PP&amp;E capex</t>
  </si>
  <si>
    <t xml:space="preserve">S024</t>
  </si>
  <si>
    <t xml:space="preserve">Kioxia Holdings Corporation</t>
  </si>
  <si>
    <t xml:space="preserve">Kioxia Investor Day 2026 Script</t>
  </si>
  <si>
    <t xml:space="preserve">2026-06-02</t>
  </si>
  <si>
    <t xml:space="preserve">E3</t>
  </si>
  <si>
    <t xml:space="preserve">NAND demand outlook</t>
  </si>
  <si>
    <t xml:space="preserve">https://www.kioxia-holdings.com/content/dam/kioxia-hd/en-jp/ir/library/event/asset/Kioxia_Investor_Day_2026_en_script.pdf</t>
  </si>
  <si>
    <t xml:space="preserve">Industry projections include TechInsights data and Kioxia judgment; not SanDisk guidance and not audited facts</t>
  </si>
  <si>
    <t xml:space="preserve">S025</t>
  </si>
  <si>
    <t xml:space="preserve">Kioxia capacity and cost plan</t>
  </si>
  <si>
    <t xml:space="preserve">Kioxia plans are relevant to the joint manufacturing ecosystem but cannot be mapped one-for-one to SanDisk financials</t>
  </si>
  <si>
    <t xml:space="preserve">S026</t>
  </si>
  <si>
    <t xml:space="preserve">Micron Technology Inc.</t>
  </si>
  <si>
    <t xml:space="preserve">Micron Technology Reports Results for the Third Quarter of Fiscal 2026</t>
  </si>
  <si>
    <t xml:space="preserve">2026-06-24</t>
  </si>
  <si>
    <t xml:space="preserve">Peer cycle profitability and guidance</t>
  </si>
  <si>
    <t xml:space="preserve">https://investors.micron.com/node/50671</t>
  </si>
  <si>
    <t xml:space="preserve">Micron is diversified across DRAM, HBM, and NAND; margins are cycle corroboration and not directly comparable with SanDisk</t>
  </si>
  <si>
    <t xml:space="preserve">S027</t>
  </si>
  <si>
    <t xml:space="preserve">Micron Fiscal Q3 2026 Earnings Presentation</t>
  </si>
  <si>
    <t xml:space="preserve">Data-center SSD revenue</t>
  </si>
  <si>
    <t xml:space="preserve">https://investors.micron.com/static-files/2354ecda-77a0-4ddd-8462-a631eb491356</t>
  </si>
  <si>
    <t xml:space="preserve">Peer disclosure validates strong enterprise demand but does not establish SanDisk market share or economics</t>
  </si>
  <si>
    <t xml:space="preserve">S028</t>
  </si>
  <si>
    <t xml:space="preserve">TrendForce</t>
  </si>
  <si>
    <t xml:space="preserve">Memory Price Outlook for First Quarter 2026</t>
  </si>
  <si>
    <t xml:space="preserve">2026-02-02</t>
  </si>
  <si>
    <t xml:space="preserve">NAND contract price forecast</t>
  </si>
  <si>
    <t xml:space="preserve">https://www.trendforce.com/presscenter/news/20260202-12911.html</t>
  </si>
  <si>
    <t xml:space="preserve">Third-party market forecast; broad market ranges are not company-reported SanDisk ASP</t>
  </si>
  <si>
    <t xml:space="preserve">S029</t>
  </si>
  <si>
    <t xml:space="preserve">Memory Price Outlook for Second Quarter 2026</t>
  </si>
  <si>
    <t xml:space="preserve">2026-03-31</t>
  </si>
  <si>
    <t xml:space="preserve">NAND contract price and supply forecast</t>
  </si>
  <si>
    <t xml:space="preserve">https://www.trendforce.com/presscenter/news/20260331-12995.html</t>
  </si>
  <si>
    <t xml:space="preserve">Third-party forecast subject to revision; pricing categories and mix differ from SanDisk's realized ASP</t>
  </si>
  <si>
    <t xml:space="preserve">S030</t>
  </si>
  <si>
    <t xml:space="preserve">Nasdaq</t>
  </si>
  <si>
    <t xml:space="preserve">NASDAQ SNDK Market Activity</t>
  </si>
  <si>
    <t xml:space="preserve">2026-07-17</t>
  </si>
  <si>
    <t xml:space="preserve">Observed common-stock price</t>
  </si>
  <si>
    <t xml:space="preserve">https://www.nasdaq.com/market-activity/stocks/sndk</t>
  </si>
  <si>
    <t xml:space="preserve">Dynamic page and non-archival observation; explicitly not a closing price</t>
  </si>
  <si>
    <t xml:space="preserve">S031</t>
  </si>
  <si>
    <t xml:space="preserve">AI Enterprise SSD Demand and NAND Supply Bulletin</t>
  </si>
  <si>
    <t xml:space="preserve">2026-06-03</t>
  </si>
  <si>
    <t xml:space="preserve">Enterprise SSD supply-demand outlook</t>
  </si>
  <si>
    <t xml:space="preserve">https://www.trendforce.com/research/download/RP260603KA</t>
  </si>
  <si>
    <t xml:space="preserve">Third-party bulletin; accessible detail may be limited and no numerical SanDisk-specific forecast is provided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</si>
</sst>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[RED]&quot;($&quot;#,##0.00\);\-"/>
    <numFmt numFmtId="166" formatCode="#,##0.0;[RED]\(#,##0.0\);\-"/>
    <numFmt numFmtId="167" formatCode="\$0.00;[RED]&quot;($&quot;0.00\);\-"/>
    <numFmt numFmtId="168" formatCode="0.0%;[RED]\(0.0%\);\-"/>
    <numFmt numFmtId="169" formatCode="0.0\x"/>
    <numFmt numFmtId="170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2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264478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5B9BD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A5A5A5"/>
      <rgbColor rgb="FF17365D"/>
      <rgbColor rgb="FF70AD47"/>
      <rgbColor rgb="FF003300"/>
      <rgbColor rgb="FF333300"/>
      <rgbColor rgb="FF993300"/>
      <rgbColor rgb="FF993366"/>
      <rgbColor rgb="FF2644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12</xdr:col>
      <xdr:colOff>105480</xdr:colOff>
      <xdr:row>24</xdr:row>
      <xdr:rowOff>22320</xdr:rowOff>
    </xdr:to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2023554/000202355425000034/sndk-20250627.htm" TargetMode="External"/><Relationship Id="rId2" Type="http://schemas.openxmlformats.org/officeDocument/2006/relationships/hyperlink" Target="https://www.sec.gov/Archives/edgar/data/2023554/000202355425000034/sndk-20250627.htm" TargetMode="External"/><Relationship Id="rId3" Type="http://schemas.openxmlformats.org/officeDocument/2006/relationships/hyperlink" Target="https://www.sec.gov/Archives/edgar/data/2023554/000202355425000034/sndk-20250627.htm" TargetMode="External"/><Relationship Id="rId4" Type="http://schemas.openxmlformats.org/officeDocument/2006/relationships/hyperlink" Target="https://www.sec.gov/Archives/edgar/data/2023554/000202355425000034/sndk-20250627.htm" TargetMode="External"/><Relationship Id="rId5" Type="http://schemas.openxmlformats.org/officeDocument/2006/relationships/hyperlink" Target="https://www.sec.gov/Archives/edgar/data/2023554/000202355425000034/sndk-20250627.htm" TargetMode="External"/><Relationship Id="rId6" Type="http://schemas.openxmlformats.org/officeDocument/2006/relationships/hyperlink" Target="https://investor.sandisk.com/news-releases/news-release-details/sandisk-reports-fiscal-fourth-quarter-and-fiscal-year-2025" TargetMode="External"/><Relationship Id="rId7" Type="http://schemas.openxmlformats.org/officeDocument/2006/relationships/hyperlink" Target="https://investor.sandisk.com/news-releases/news-release-details/sandisk-reports-fiscal-first-quarter-2026-financial-results" TargetMode="External"/><Relationship Id="rId8" Type="http://schemas.openxmlformats.org/officeDocument/2006/relationships/hyperlink" Target="https://investor.sandisk.com/news-releases/news-release-details/sandisk-reports-fiscal-first-quarter-2026-financial-results" TargetMode="External"/><Relationship Id="rId9" Type="http://schemas.openxmlformats.org/officeDocument/2006/relationships/hyperlink" Target="https://investor.sandisk.com/news-releases/news-release-details/sandisk-reports-fiscal-second-quarter-2026-financial-results" TargetMode="External"/><Relationship Id="rId10" Type="http://schemas.openxmlformats.org/officeDocument/2006/relationships/hyperlink" Target="https://investor.sandisk.com/news-releases/news-release-details/sandisk-reports-fiscal-second-quarter-2026-financial-results" TargetMode="External"/><Relationship Id="rId11" Type="http://schemas.openxmlformats.org/officeDocument/2006/relationships/hyperlink" Target="https://investor.sandisk.com/news-releases/news-release-details/sandisk-reports-fiscal-third-quarter-2026-financial-results" TargetMode="External"/><Relationship Id="rId12" Type="http://schemas.openxmlformats.org/officeDocument/2006/relationships/hyperlink" Target="https://investor.sandisk.com/news-releases/news-release-details/sandisk-reports-fiscal-third-quarter-2026-financial-results" TargetMode="External"/><Relationship Id="rId13" Type="http://schemas.openxmlformats.org/officeDocument/2006/relationships/hyperlink" Target="https://www.sec.gov/Archives/edgar/data/2023554/000162828026029401/sndk-20260403.htm" TargetMode="External"/><Relationship Id="rId14" Type="http://schemas.openxmlformats.org/officeDocument/2006/relationships/hyperlink" Target="https://www.sec.gov/Archives/edgar/data/2023554/000162828026029401/sndk-20260403.htm" TargetMode="External"/><Relationship Id="rId15" Type="http://schemas.openxmlformats.org/officeDocument/2006/relationships/hyperlink" Target="https://www.sec.gov/Archives/edgar/data/2023554/000162828026029401/sndk-20260403.htm" TargetMode="External"/><Relationship Id="rId16" Type="http://schemas.openxmlformats.org/officeDocument/2006/relationships/hyperlink" Target="https://www.sec.gov/Archives/edgar/data/2023554/000162828026029401/sndk-20260403.htm" TargetMode="External"/><Relationship Id="rId17" Type="http://schemas.openxmlformats.org/officeDocument/2006/relationships/hyperlink" Target="https://www.sec.gov/Archives/edgar/data/2023554/000162828026029401/sndk-20260403.htm" TargetMode="External"/><Relationship Id="rId18" Type="http://schemas.openxmlformats.org/officeDocument/2006/relationships/hyperlink" Target="https://www.sec.gov/Archives/edgar/data/2023554/000162828026029401/sndk-20260403.htm" TargetMode="External"/><Relationship Id="rId19" Type="http://schemas.openxmlformats.org/officeDocument/2006/relationships/hyperlink" Target="https://www.sec.gov/Archives/edgar/data/2023554/000162828026029401/sndk-20260403.htm" TargetMode="External"/><Relationship Id="rId20" Type="http://schemas.openxmlformats.org/officeDocument/2006/relationships/hyperlink" Target="https://investor.sandisk.com/news-releases/news-release-details/sandisk-reports-fiscal-third-quarter-2026-financial-results" TargetMode="External"/><Relationship Id="rId21" Type="http://schemas.openxmlformats.org/officeDocument/2006/relationships/hyperlink" Target="https://investor.sandisk.com/news-releases/news-release-details/sandisk-report-fiscal-fourth-quarter-and-fiscal-year-2026" TargetMode="External"/><Relationship Id="rId22" Type="http://schemas.openxmlformats.org/officeDocument/2006/relationships/hyperlink" Target="https://investor.sandisk.com/news-releases/news-release-details/sandisk-reports-fiscal-third-quarter-2026-financial-results" TargetMode="External"/><Relationship Id="rId23" Type="http://schemas.openxmlformats.org/officeDocument/2006/relationships/hyperlink" Target="https://investor.sandisk.com/news-releases/news-release-details/kioxia-and-sandisk-extend-yokkaichi-joint-venture-agreement" TargetMode="External"/><Relationship Id="rId24" Type="http://schemas.openxmlformats.org/officeDocument/2006/relationships/hyperlink" Target="https://www.kioxia-holdings.com/content/dam/kioxia-hd/en-jp/ir/library/event/asset/Kioxia_Investor_Day_2026_en_script.pdf" TargetMode="External"/><Relationship Id="rId25" Type="http://schemas.openxmlformats.org/officeDocument/2006/relationships/hyperlink" Target="https://www.kioxia-holdings.com/content/dam/kioxia-hd/en-jp/ir/library/event/asset/Kioxia_Investor_Day_2026_en_script.pdf" TargetMode="External"/><Relationship Id="rId26" Type="http://schemas.openxmlformats.org/officeDocument/2006/relationships/hyperlink" Target="https://investors.micron.com/node/50671" TargetMode="External"/><Relationship Id="rId27" Type="http://schemas.openxmlformats.org/officeDocument/2006/relationships/hyperlink" Target="https://investors.micron.com/static-files/2354ecda-77a0-4ddd-8462-a631eb491356" TargetMode="External"/><Relationship Id="rId28" Type="http://schemas.openxmlformats.org/officeDocument/2006/relationships/hyperlink" Target="https://www.trendforce.com/presscenter/news/20260202-12911.html" TargetMode="External"/><Relationship Id="rId29" Type="http://schemas.openxmlformats.org/officeDocument/2006/relationships/hyperlink" Target="https://www.trendforce.com/presscenter/news/20260331-12995.html" TargetMode="External"/><Relationship Id="rId30" Type="http://schemas.openxmlformats.org/officeDocument/2006/relationships/hyperlink" Target="https://www.nasdaq.com/market-activity/stocks/sndk" TargetMode="External"/><Relationship Id="rId31" Type="http://schemas.openxmlformats.org/officeDocument/2006/relationships/hyperlink" Target="https://www.trendforce.com/research/download/RP260603KA" TargetMode="External"/><Relationship Id="rId3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L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8"/>
    <col collapsed="false" customWidth="true" hidden="false" outlineLevel="0" max="7" min="7" style="0" width="3"/>
    <col collapsed="false" customWidth="true" hidden="false" outlineLevel="0" max="12" min="8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5" t="s">
        <v>5</v>
      </c>
    </row>
    <row r="6" customFormat="false" ht="15" hidden="false" customHeight="false" outlineLevel="0" collapsed="false">
      <c r="A6" s="5" t="s">
        <v>6</v>
      </c>
      <c r="B6" s="6" t="n">
        <f aca="false">Assumptions!B4</f>
        <v>1470.63</v>
      </c>
    </row>
    <row r="7" customFormat="false" ht="15" hidden="false" customHeight="false" outlineLevel="0" collapsed="false">
      <c r="A7" s="5" t="s">
        <v>7</v>
      </c>
      <c r="B7" s="7" t="n">
        <f aca="false">Valuation!B6</f>
        <v>217785.24080754</v>
      </c>
    </row>
    <row r="8" customFormat="false" ht="15" hidden="false" customHeight="false" outlineLevel="0" collapsed="false">
      <c r="A8" s="5" t="s">
        <v>8</v>
      </c>
      <c r="B8" s="7" t="n">
        <f aca="false">Valuation!B9</f>
        <v>214050.24080754</v>
      </c>
    </row>
    <row r="10" customFormat="false" ht="15" hidden="false" customHeight="false" outlineLevel="0" collapsed="false">
      <c r="A10" s="8" t="s">
        <v>9</v>
      </c>
      <c r="B10" s="8"/>
      <c r="C10" s="8"/>
      <c r="D10" s="8"/>
      <c r="E10" s="8"/>
      <c r="F10" s="8"/>
    </row>
    <row r="11" customFormat="false" ht="15" hidden="false" customHeight="false" outlineLevel="0" collapsed="false">
      <c r="A11" s="9" t="s">
        <v>10</v>
      </c>
      <c r="B11" s="9" t="s">
        <v>11</v>
      </c>
      <c r="C11" s="9" t="s">
        <v>12</v>
      </c>
      <c r="D11" s="9" t="s">
        <v>13</v>
      </c>
      <c r="E11" s="9" t="s">
        <v>14</v>
      </c>
      <c r="F11" s="9" t="s">
        <v>15</v>
      </c>
    </row>
    <row r="12" customFormat="false" ht="15" hidden="false" customHeight="false" outlineLevel="0" collapsed="false">
      <c r="A12" s="5" t="s">
        <v>16</v>
      </c>
      <c r="B12" s="7" t="n">
        <f aca="false">Forecast!B4</f>
        <v>19283</v>
      </c>
      <c r="C12" s="7" t="n">
        <f aca="false">Forecast!C4</f>
        <v>33205.326</v>
      </c>
      <c r="D12" s="7" t="n">
        <f aca="false">Forecast!D4</f>
        <v>31118.13408</v>
      </c>
      <c r="E12" s="7" t="n">
        <f aca="false">Forecast!E4</f>
        <v>28006.320672</v>
      </c>
      <c r="F12" s="7" t="n">
        <f aca="false">Forecast!F4</f>
        <v>27539.5486608</v>
      </c>
    </row>
    <row r="13" customFormat="false" ht="15" hidden="false" customHeight="false" outlineLevel="0" collapsed="false">
      <c r="A13" s="5" t="s">
        <v>17</v>
      </c>
      <c r="B13" s="7" t="n">
        <f aca="false">Forecast!B12</f>
        <v>9462.5655</v>
      </c>
      <c r="C13" s="7" t="n">
        <f aca="false">Forecast!C12</f>
        <v>18973.650054</v>
      </c>
      <c r="D13" s="7" t="n">
        <f aca="false">Forecast!D12</f>
        <v>13186.754923776</v>
      </c>
      <c r="E13" s="7" t="n">
        <f aca="false">Forecast!E12</f>
        <v>8659.3132325696</v>
      </c>
      <c r="F13" s="7" t="n">
        <f aca="false">Forecast!F12</f>
        <v>7393.62055877952</v>
      </c>
    </row>
    <row r="14" customFormat="false" ht="15" hidden="false" customHeight="false" outlineLevel="0" collapsed="false">
      <c r="A14" s="5" t="s">
        <v>18</v>
      </c>
      <c r="B14" s="10" t="n">
        <f aca="false">Forecast!B14</f>
        <v>60.6574711538462</v>
      </c>
      <c r="C14" s="10" t="n">
        <f aca="false">Forecast!C14</f>
        <v>123.205519831169</v>
      </c>
      <c r="D14" s="10" t="n">
        <f aca="false">Forecast!D14</f>
        <v>86.7549666037895</v>
      </c>
      <c r="E14" s="10" t="n">
        <f aca="false">Forecast!E14</f>
        <v>57.3464452488053</v>
      </c>
      <c r="F14" s="10" t="n">
        <f aca="false">Forecast!F14</f>
        <v>49.2908037251968</v>
      </c>
    </row>
    <row r="15" customFormat="false" ht="15" hidden="false" customHeight="false" outlineLevel="0" collapsed="false">
      <c r="A15" s="5" t="s">
        <v>19</v>
      </c>
      <c r="B15" s="11" t="n">
        <f aca="false">Forecast!B6</f>
        <v>0.688793237566769</v>
      </c>
      <c r="C15" s="11" t="n">
        <f aca="false">Forecast!C6</f>
        <v>0.74</v>
      </c>
      <c r="D15" s="11" t="n">
        <f aca="false">Forecast!D6</f>
        <v>0.58</v>
      </c>
      <c r="E15" s="11" t="n">
        <f aca="false">Forecast!E6</f>
        <v>0.46</v>
      </c>
      <c r="F15" s="11" t="n">
        <f aca="false">Forecast!F6</f>
        <v>0.42</v>
      </c>
    </row>
    <row r="18" customFormat="false" ht="15" hidden="false" customHeight="false" outlineLevel="0" collapsed="false">
      <c r="A18" s="8" t="s">
        <v>20</v>
      </c>
      <c r="B18" s="8"/>
      <c r="C18" s="8"/>
      <c r="D18" s="8"/>
      <c r="E18" s="8"/>
      <c r="F18" s="8"/>
    </row>
    <row r="19" customFormat="false" ht="15" hidden="false" customHeight="false" outlineLevel="0" collapsed="false">
      <c r="A19" s="9" t="s">
        <v>21</v>
      </c>
      <c r="B19" s="9" t="s">
        <v>22</v>
      </c>
      <c r="C19" s="9" t="s">
        <v>23</v>
      </c>
      <c r="D19" s="9" t="s">
        <v>24</v>
      </c>
      <c r="E19" s="9" t="s">
        <v>25</v>
      </c>
      <c r="F19" s="9" t="s">
        <v>26</v>
      </c>
    </row>
    <row r="20" customFormat="false" ht="15" hidden="false" customHeight="false" outlineLevel="0" collapsed="false">
      <c r="A20" s="5" t="s">
        <v>27</v>
      </c>
      <c r="B20" s="11" t="n">
        <f aca="false">Valuation!B24</f>
        <v>0.3</v>
      </c>
      <c r="C20" s="10" t="n">
        <f aca="false">Valuation!C24</f>
        <v>52.0669544303798</v>
      </c>
      <c r="D20" s="10" t="n">
        <f aca="false">Valuation!E24</f>
        <v>6.77509907319964</v>
      </c>
      <c r="E20" s="6" t="n">
        <f aca="false">Valuation!H24</f>
        <v>217.264848616413</v>
      </c>
      <c r="F20" s="12" t="n">
        <f aca="false">E20/$B$6-1</f>
        <v>-0.852264098640438</v>
      </c>
    </row>
    <row r="21" customFormat="false" ht="15" hidden="false" customHeight="false" outlineLevel="0" collapsed="false">
      <c r="A21" s="5" t="s">
        <v>28</v>
      </c>
      <c r="B21" s="11" t="n">
        <f aca="false">Valuation!B25</f>
        <v>0.5</v>
      </c>
      <c r="C21" s="10" t="n">
        <f aca="false">Valuation!C25</f>
        <v>123.205519831169</v>
      </c>
      <c r="D21" s="10" t="n">
        <f aca="false">Valuation!E25</f>
        <v>53.318624487001</v>
      </c>
      <c r="E21" s="6" t="n">
        <f aca="false">Valuation!H25</f>
        <v>1054.68087439989</v>
      </c>
      <c r="F21" s="12" t="n">
        <f aca="false">E21/$B$6-1</f>
        <v>-0.28283737282669</v>
      </c>
    </row>
    <row r="22" customFormat="false" ht="15" hidden="false" customHeight="false" outlineLevel="0" collapsed="false">
      <c r="A22" s="5" t="s">
        <v>29</v>
      </c>
      <c r="B22" s="11" t="n">
        <f aca="false">Valuation!B26</f>
        <v>0.2</v>
      </c>
      <c r="C22" s="10" t="n">
        <f aca="false">Valuation!C26</f>
        <v>176.639925925926</v>
      </c>
      <c r="D22" s="10" t="n">
        <f aca="false">Valuation!E26</f>
        <v>206.771152960438</v>
      </c>
      <c r="E22" s="6" t="n">
        <f aca="false">Valuation!H26</f>
        <v>3322.31203715791</v>
      </c>
      <c r="F22" s="12" t="n">
        <f aca="false">E22/$B$6-1</f>
        <v>1.25910802659942</v>
      </c>
    </row>
    <row r="23" customFormat="false" ht="15" hidden="false" customHeight="false" outlineLevel="0" collapsed="false">
      <c r="A23" s="13" t="s">
        <v>30</v>
      </c>
      <c r="E23" s="14" t="n">
        <f aca="false">Valuation!I27</f>
        <v>1256.98229921645</v>
      </c>
      <c r="F23" s="11" t="n">
        <f aca="false">Valuation!I28</f>
        <v>-0.145276310685591</v>
      </c>
    </row>
    <row r="26" customFormat="false" ht="15" hidden="false" customHeight="false" outlineLevel="0" collapsed="false">
      <c r="A26" s="8" t="s">
        <v>31</v>
      </c>
      <c r="B26" s="8"/>
      <c r="C26" s="8"/>
      <c r="D26" s="8"/>
      <c r="E26" s="8"/>
      <c r="F26" s="8"/>
    </row>
    <row r="27" customFormat="false" ht="30" hidden="false" customHeight="true" outlineLevel="0" collapsed="false">
      <c r="A27" s="5" t="s">
        <v>32</v>
      </c>
      <c r="B27" s="15" t="s">
        <v>33</v>
      </c>
      <c r="C27" s="15"/>
      <c r="D27" s="15"/>
      <c r="E27" s="15"/>
      <c r="F27" s="15"/>
    </row>
    <row r="28" customFormat="false" ht="30" hidden="false" customHeight="true" outlineLevel="0" collapsed="false">
      <c r="A28" s="5" t="s">
        <v>34</v>
      </c>
      <c r="B28" s="15" t="s">
        <v>35</v>
      </c>
      <c r="C28" s="15"/>
      <c r="D28" s="15"/>
      <c r="E28" s="15"/>
      <c r="F28" s="15"/>
    </row>
    <row r="29" customFormat="false" ht="30" hidden="false" customHeight="true" outlineLevel="0" collapsed="false">
      <c r="A29" s="5" t="s">
        <v>36</v>
      </c>
      <c r="B29" s="15" t="s">
        <v>37</v>
      </c>
      <c r="C29" s="15"/>
      <c r="D29" s="15"/>
      <c r="E29" s="15"/>
      <c r="F29" s="15"/>
    </row>
    <row r="30" customFormat="false" ht="30" hidden="false" customHeight="true" outlineLevel="0" collapsed="false">
      <c r="A30" s="5" t="s">
        <v>38</v>
      </c>
      <c r="B30" s="15" t="s">
        <v>39</v>
      </c>
      <c r="C30" s="15"/>
      <c r="D30" s="15"/>
      <c r="E30" s="15"/>
      <c r="F30" s="15"/>
    </row>
    <row r="31" customFormat="false" ht="30" hidden="false" customHeight="true" outlineLevel="0" collapsed="false">
      <c r="A31" s="5" t="s">
        <v>40</v>
      </c>
      <c r="B31" s="15" t="s">
        <v>41</v>
      </c>
      <c r="C31" s="15"/>
      <c r="D31" s="15"/>
      <c r="E31" s="15"/>
      <c r="F31" s="15"/>
    </row>
  </sheetData>
  <mergeCells count="10">
    <mergeCell ref="A1:L1"/>
    <mergeCell ref="A2:L2"/>
    <mergeCell ref="A10:F10"/>
    <mergeCell ref="A18:F18"/>
    <mergeCell ref="A26:F26"/>
    <mergeCell ref="B27:F27"/>
    <mergeCell ref="B28:F28"/>
    <mergeCell ref="B29:F29"/>
    <mergeCell ref="B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6" min="6" style="0" width="48"/>
  </cols>
  <sheetData>
    <row r="1" customFormat="false" ht="24" hidden="false" customHeight="true" outlineLevel="0" collapsed="false">
      <c r="A1" s="1" t="s">
        <v>42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43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</row>
    <row r="4" customFormat="false" ht="15" hidden="false" customHeight="false" outlineLevel="0" collapsed="false">
      <c r="A4" s="5" t="s">
        <v>6</v>
      </c>
      <c r="B4" s="16" t="n">
        <v>1470.63</v>
      </c>
      <c r="C4" s="5" t="s">
        <v>50</v>
      </c>
      <c r="D4" s="5" t="s">
        <v>51</v>
      </c>
      <c r="E4" s="5" t="s">
        <v>52</v>
      </c>
      <c r="F4" s="5" t="s">
        <v>53</v>
      </c>
    </row>
    <row r="5" customFormat="false" ht="15" hidden="false" customHeight="false" outlineLevel="0" collapsed="false">
      <c r="A5" s="5" t="s">
        <v>54</v>
      </c>
      <c r="B5" s="17" t="n">
        <v>148.089758</v>
      </c>
      <c r="C5" s="5" t="s">
        <v>55</v>
      </c>
      <c r="D5" s="5" t="s">
        <v>56</v>
      </c>
      <c r="E5" s="5" t="s">
        <v>57</v>
      </c>
      <c r="F5" s="5" t="s">
        <v>58</v>
      </c>
    </row>
    <row r="6" customFormat="false" ht="15" hidden="false" customHeight="false" outlineLevel="0" collapsed="false">
      <c r="A6" s="5" t="s">
        <v>59</v>
      </c>
      <c r="B6" s="17" t="n">
        <v>3735</v>
      </c>
      <c r="C6" s="5" t="s">
        <v>60</v>
      </c>
      <c r="D6" s="5" t="s">
        <v>56</v>
      </c>
      <c r="E6" s="5" t="s">
        <v>61</v>
      </c>
      <c r="F6" s="5" t="s">
        <v>62</v>
      </c>
    </row>
    <row r="7" customFormat="false" ht="15" hidden="false" customHeight="false" outlineLevel="0" collapsed="false">
      <c r="A7" s="5" t="s">
        <v>63</v>
      </c>
      <c r="B7" s="17" t="n">
        <v>0</v>
      </c>
      <c r="C7" s="5" t="s">
        <v>60</v>
      </c>
      <c r="D7" s="5" t="s">
        <v>56</v>
      </c>
      <c r="E7" s="5" t="s">
        <v>64</v>
      </c>
      <c r="F7" s="5" t="s">
        <v>65</v>
      </c>
    </row>
    <row r="8" customFormat="false" ht="15" hidden="false" customHeight="false" outlineLevel="0" collapsed="false">
      <c r="A8" s="5" t="s">
        <v>66</v>
      </c>
      <c r="B8" s="17" t="n">
        <v>972</v>
      </c>
      <c r="C8" s="5" t="s">
        <v>60</v>
      </c>
      <c r="D8" s="5" t="s">
        <v>56</v>
      </c>
      <c r="E8" s="5" t="s">
        <v>67</v>
      </c>
      <c r="F8" s="5" t="s">
        <v>68</v>
      </c>
    </row>
    <row r="9" customFormat="false" ht="15" hidden="false" customHeight="false" outlineLevel="0" collapsed="false">
      <c r="A9" s="5" t="s">
        <v>69</v>
      </c>
      <c r="B9" s="16" t="n">
        <v>1411.08</v>
      </c>
      <c r="C9" s="5" t="s">
        <v>50</v>
      </c>
      <c r="D9" s="5" t="s">
        <v>51</v>
      </c>
      <c r="E9" s="5" t="s">
        <v>70</v>
      </c>
      <c r="F9" s="5" t="s">
        <v>71</v>
      </c>
    </row>
    <row r="10" customFormat="false" ht="15" hidden="false" customHeight="false" outlineLevel="0" collapsed="false">
      <c r="A10" s="5" t="s">
        <v>72</v>
      </c>
      <c r="B10" s="17" t="n">
        <v>8000</v>
      </c>
      <c r="C10" s="5" t="s">
        <v>60</v>
      </c>
      <c r="D10" s="5" t="s">
        <v>73</v>
      </c>
      <c r="E10" s="5" t="s">
        <v>74</v>
      </c>
      <c r="F10" s="5" t="s">
        <v>75</v>
      </c>
    </row>
    <row r="11" customFormat="false" ht="15" hidden="false" customHeight="false" outlineLevel="0" collapsed="false">
      <c r="A11" s="5" t="s">
        <v>76</v>
      </c>
      <c r="B11" s="18" t="n">
        <v>0.799</v>
      </c>
      <c r="C11" s="5" t="s">
        <v>77</v>
      </c>
      <c r="D11" s="5" t="s">
        <v>73</v>
      </c>
      <c r="E11" s="5" t="s">
        <v>78</v>
      </c>
      <c r="F11" s="5" t="s">
        <v>75</v>
      </c>
    </row>
    <row r="12" customFormat="false" ht="15" hidden="false" customHeight="false" outlineLevel="0" collapsed="false">
      <c r="A12" s="5" t="s">
        <v>79</v>
      </c>
      <c r="B12" s="17" t="n">
        <v>540.5</v>
      </c>
      <c r="C12" s="5" t="s">
        <v>60</v>
      </c>
      <c r="D12" s="5" t="s">
        <v>73</v>
      </c>
      <c r="E12" s="5" t="s">
        <v>80</v>
      </c>
      <c r="F12" s="5" t="s">
        <v>75</v>
      </c>
    </row>
    <row r="13" customFormat="false" ht="15" hidden="false" customHeight="false" outlineLevel="0" collapsed="false">
      <c r="A13" s="5" t="s">
        <v>81</v>
      </c>
      <c r="B13" s="17" t="n">
        <v>22</v>
      </c>
      <c r="C13" s="5" t="s">
        <v>60</v>
      </c>
      <c r="D13" s="5" t="s">
        <v>73</v>
      </c>
      <c r="E13" s="5" t="s">
        <v>82</v>
      </c>
      <c r="F13" s="5" t="s">
        <v>75</v>
      </c>
    </row>
    <row r="14" customFormat="false" ht="15" hidden="false" customHeight="false" outlineLevel="0" collapsed="false">
      <c r="A14" s="5" t="s">
        <v>83</v>
      </c>
      <c r="B14" s="18" t="n">
        <v>0.143</v>
      </c>
      <c r="C14" s="5" t="s">
        <v>77</v>
      </c>
      <c r="D14" s="5" t="s">
        <v>84</v>
      </c>
      <c r="E14" s="5" t="s">
        <v>85</v>
      </c>
      <c r="F14" s="5" t="s">
        <v>86</v>
      </c>
    </row>
    <row r="15" customFormat="false" ht="15" hidden="false" customHeight="false" outlineLevel="0" collapsed="false">
      <c r="A15" s="5" t="s">
        <v>87</v>
      </c>
      <c r="B15" s="17" t="n">
        <v>156</v>
      </c>
      <c r="C15" s="5" t="s">
        <v>55</v>
      </c>
      <c r="D15" s="5" t="s">
        <v>84</v>
      </c>
      <c r="E15" s="5" t="s">
        <v>88</v>
      </c>
      <c r="F15" s="5" t="s">
        <v>89</v>
      </c>
    </row>
    <row r="16" customFormat="false" ht="15" hidden="false" customHeight="false" outlineLevel="0" collapsed="false">
      <c r="A16" s="5" t="s">
        <v>90</v>
      </c>
      <c r="B16" s="17" t="n">
        <v>75</v>
      </c>
      <c r="C16" s="5" t="s">
        <v>91</v>
      </c>
      <c r="D16" s="5" t="s">
        <v>84</v>
      </c>
      <c r="E16" s="5" t="s">
        <v>92</v>
      </c>
      <c r="F16" s="5" t="s">
        <v>93</v>
      </c>
    </row>
    <row r="17" customFormat="false" ht="15" hidden="false" customHeight="false" outlineLevel="0" collapsed="false">
      <c r="A17" s="5" t="s">
        <v>94</v>
      </c>
      <c r="B17" s="18" t="n">
        <v>0.3</v>
      </c>
      <c r="C17" s="5" t="s">
        <v>77</v>
      </c>
      <c r="D17" s="5" t="s">
        <v>84</v>
      </c>
      <c r="E17" s="5" t="s">
        <v>95</v>
      </c>
      <c r="F17" s="5" t="s">
        <v>96</v>
      </c>
    </row>
    <row r="18" customFormat="false" ht="15" hidden="false" customHeight="false" outlineLevel="0" collapsed="false">
      <c r="A18" s="5" t="s">
        <v>97</v>
      </c>
      <c r="B18" s="18" t="n">
        <v>0.58</v>
      </c>
      <c r="C18" s="5" t="s">
        <v>77</v>
      </c>
      <c r="D18" s="5" t="s">
        <v>84</v>
      </c>
      <c r="E18" s="5" t="s">
        <v>98</v>
      </c>
      <c r="F18" s="5" t="s">
        <v>96</v>
      </c>
    </row>
    <row r="19" customFormat="false" ht="15" hidden="false" customHeight="false" outlineLevel="0" collapsed="false">
      <c r="A19" s="5" t="s">
        <v>99</v>
      </c>
      <c r="B19" s="18" t="n">
        <v>0.12</v>
      </c>
      <c r="C19" s="5" t="s">
        <v>77</v>
      </c>
      <c r="D19" s="5" t="s">
        <v>84</v>
      </c>
      <c r="E19" s="5" t="s">
        <v>100</v>
      </c>
      <c r="F19" s="5" t="s">
        <v>96</v>
      </c>
    </row>
    <row r="20" customFormat="false" ht="15" hidden="false" customHeight="false" outlineLevel="0" collapsed="false">
      <c r="A20" s="5" t="s">
        <v>101</v>
      </c>
      <c r="B20" s="17" t="n">
        <v>150</v>
      </c>
      <c r="C20" s="5" t="s">
        <v>60</v>
      </c>
      <c r="D20" s="5" t="s">
        <v>84</v>
      </c>
      <c r="E20" s="5" t="s">
        <v>102</v>
      </c>
      <c r="F20" s="5" t="s">
        <v>103</v>
      </c>
    </row>
    <row r="21" customFormat="false" ht="15" hidden="false" customHeight="false" outlineLevel="0" collapsed="false">
      <c r="A21" s="5" t="s">
        <v>104</v>
      </c>
      <c r="B21" s="5" t="s">
        <v>28</v>
      </c>
      <c r="C21" s="5" t="s">
        <v>105</v>
      </c>
      <c r="D21" s="5" t="s">
        <v>84</v>
      </c>
      <c r="E21" s="5" t="s">
        <v>106</v>
      </c>
      <c r="F21" s="5" t="s">
        <v>107</v>
      </c>
    </row>
    <row r="22" customFormat="false" ht="15" hidden="false" customHeight="false" outlineLevel="0" collapsed="false">
      <c r="A22" s="5" t="s">
        <v>108</v>
      </c>
      <c r="B22" s="18" t="n">
        <v>0.4</v>
      </c>
      <c r="C22" s="5" t="s">
        <v>77</v>
      </c>
      <c r="D22" s="5" t="s">
        <v>84</v>
      </c>
      <c r="E22" s="5" t="s">
        <v>109</v>
      </c>
      <c r="F22" s="5" t="s">
        <v>110</v>
      </c>
    </row>
    <row r="23" customFormat="false" ht="15" hidden="false" customHeight="false" outlineLevel="0" collapsed="false">
      <c r="A23" s="5" t="s">
        <v>111</v>
      </c>
      <c r="B23" s="18" t="n">
        <v>0.6</v>
      </c>
      <c r="C23" s="5" t="s">
        <v>77</v>
      </c>
      <c r="D23" s="5" t="s">
        <v>84</v>
      </c>
      <c r="E23" s="5" t="s">
        <v>112</v>
      </c>
      <c r="F23" s="5" t="s">
        <v>110</v>
      </c>
    </row>
    <row r="24" customFormat="false" ht="15" hidden="false" customHeight="false" outlineLevel="0" collapsed="false">
      <c r="A24" s="5" t="s">
        <v>113</v>
      </c>
      <c r="B24" s="16" t="n">
        <v>62.82</v>
      </c>
      <c r="C24" s="5" t="s">
        <v>50</v>
      </c>
      <c r="D24" s="5" t="s">
        <v>114</v>
      </c>
      <c r="E24" s="5" t="s">
        <v>115</v>
      </c>
      <c r="F24" s="5" t="s">
        <v>116</v>
      </c>
    </row>
    <row r="25" customFormat="false" ht="15" hidden="false" customHeight="false" outlineLevel="0" collapsed="false">
      <c r="A25" s="5" t="s">
        <v>117</v>
      </c>
      <c r="B25" s="17" t="n">
        <v>158</v>
      </c>
      <c r="C25" s="5" t="s">
        <v>55</v>
      </c>
      <c r="D25" s="5" t="s">
        <v>73</v>
      </c>
      <c r="E25" s="5" t="s">
        <v>118</v>
      </c>
      <c r="F25" s="5" t="s">
        <v>75</v>
      </c>
    </row>
    <row r="28" customFormat="false" ht="15" hidden="false" customHeight="false" outlineLevel="0" collapsed="false">
      <c r="A28" s="8" t="s">
        <v>119</v>
      </c>
      <c r="B28" s="8"/>
      <c r="C28" s="8"/>
      <c r="D28" s="8"/>
      <c r="E28" s="8"/>
      <c r="F28" s="8"/>
    </row>
    <row r="29" customFormat="false" ht="15" hidden="false" customHeight="false" outlineLevel="0" collapsed="false">
      <c r="A29" s="9" t="s">
        <v>10</v>
      </c>
      <c r="B29" s="9" t="s">
        <v>27</v>
      </c>
      <c r="C29" s="9" t="s">
        <v>28</v>
      </c>
      <c r="D29" s="9" t="s">
        <v>29</v>
      </c>
      <c r="E29" s="9" t="s">
        <v>46</v>
      </c>
      <c r="F29" s="9" t="s">
        <v>120</v>
      </c>
    </row>
    <row r="30" customFormat="false" ht="15" hidden="false" customHeight="false" outlineLevel="0" collapsed="false">
      <c r="A30" s="5" t="s">
        <v>121</v>
      </c>
      <c r="B30" s="19" t="n">
        <v>8</v>
      </c>
      <c r="C30" s="19" t="n">
        <v>10</v>
      </c>
      <c r="D30" s="19" t="n">
        <v>14</v>
      </c>
      <c r="E30" s="5" t="s">
        <v>122</v>
      </c>
      <c r="F30" s="5" t="s">
        <v>123</v>
      </c>
    </row>
    <row r="31" customFormat="false" ht="15" hidden="false" customHeight="false" outlineLevel="0" collapsed="false">
      <c r="A31" s="5" t="s">
        <v>124</v>
      </c>
      <c r="B31" s="19" t="n">
        <v>10</v>
      </c>
      <c r="C31" s="19" t="n">
        <v>16</v>
      </c>
      <c r="D31" s="19" t="n">
        <v>18</v>
      </c>
      <c r="E31" s="5" t="s">
        <v>122</v>
      </c>
      <c r="F31" s="5" t="s">
        <v>125</v>
      </c>
    </row>
    <row r="32" customFormat="false" ht="15" hidden="false" customHeight="false" outlineLevel="0" collapsed="false">
      <c r="A32" s="5" t="s">
        <v>126</v>
      </c>
      <c r="B32" s="16" t="n">
        <v>10</v>
      </c>
      <c r="C32" s="16" t="n">
        <v>50</v>
      </c>
      <c r="D32" s="16" t="n">
        <v>100</v>
      </c>
      <c r="E32" s="5" t="s">
        <v>50</v>
      </c>
      <c r="F32" s="5" t="s">
        <v>127</v>
      </c>
    </row>
  </sheetData>
  <mergeCells count="3">
    <mergeCell ref="A1:F1"/>
    <mergeCell ref="A2:F2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128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129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10</v>
      </c>
      <c r="B3" s="9" t="s">
        <v>130</v>
      </c>
      <c r="C3" s="9" t="s">
        <v>131</v>
      </c>
      <c r="D3" s="9" t="s">
        <v>132</v>
      </c>
      <c r="E3" s="9" t="s">
        <v>133</v>
      </c>
      <c r="F3" s="9" t="s">
        <v>11</v>
      </c>
    </row>
    <row r="4" customFormat="false" ht="15" hidden="false" customHeight="false" outlineLevel="0" collapsed="false">
      <c r="A4" s="5" t="s">
        <v>16</v>
      </c>
      <c r="B4" s="17" t="n">
        <v>6086</v>
      </c>
      <c r="C4" s="17" t="n">
        <v>6663</v>
      </c>
      <c r="D4" s="17" t="n">
        <v>7355</v>
      </c>
      <c r="E4" s="17" t="n">
        <v>11283</v>
      </c>
      <c r="F4" s="7" t="n">
        <f aca="false">E4+Assumptions!B10</f>
        <v>19283</v>
      </c>
    </row>
    <row r="5" customFormat="false" ht="15" hidden="false" customHeight="false" outlineLevel="0" collapsed="false">
      <c r="A5" s="5" t="s">
        <v>134</v>
      </c>
      <c r="B5" s="17" t="n">
        <v>430</v>
      </c>
      <c r="C5" s="17" t="n">
        <v>1072</v>
      </c>
      <c r="D5" s="17" t="n">
        <v>2212</v>
      </c>
      <c r="E5" s="17" t="n">
        <v>6890</v>
      </c>
      <c r="F5" s="7" t="n">
        <f aca="false">E5+Assumptions!B10*Assumptions!B11</f>
        <v>13282</v>
      </c>
    </row>
    <row r="6" customFormat="false" ht="15" hidden="false" customHeight="false" outlineLevel="0" collapsed="false">
      <c r="A6" s="5" t="s">
        <v>19</v>
      </c>
      <c r="B6" s="12" t="n">
        <f aca="false">B5/B4</f>
        <v>0.0706539599079855</v>
      </c>
      <c r="C6" s="12" t="n">
        <f aca="false">C5/C4</f>
        <v>0.160888488668768</v>
      </c>
      <c r="D6" s="12" t="n">
        <f aca="false">D5/D4</f>
        <v>0.300747790618627</v>
      </c>
      <c r="E6" s="12" t="n">
        <f aca="false">E5/E4</f>
        <v>0.610653195072233</v>
      </c>
      <c r="F6" s="12" t="n">
        <f aca="false">F5/F4</f>
        <v>0.688793237566769</v>
      </c>
    </row>
    <row r="7" customFormat="false" ht="15" hidden="false" customHeight="false" outlineLevel="0" collapsed="false">
      <c r="A7" s="5" t="s">
        <v>135</v>
      </c>
      <c r="B7" s="17" t="n">
        <v>2465</v>
      </c>
      <c r="C7" s="17" t="n">
        <v>1540</v>
      </c>
      <c r="D7" s="17" t="n">
        <v>3589</v>
      </c>
      <c r="E7" s="17" t="n">
        <v>1538</v>
      </c>
      <c r="F7" s="7" t="n">
        <f aca="false">E7+Assumptions!B12</f>
        <v>2078.5</v>
      </c>
    </row>
    <row r="8" customFormat="false" ht="15" hidden="false" customHeight="false" outlineLevel="0" collapsed="false">
      <c r="A8" s="5" t="s">
        <v>136</v>
      </c>
      <c r="B8" s="17" t="n">
        <v>-2035</v>
      </c>
      <c r="C8" s="17" t="n">
        <v>-468</v>
      </c>
      <c r="D8" s="17" t="n">
        <v>-1377</v>
      </c>
      <c r="E8" s="17" t="n">
        <v>5352</v>
      </c>
      <c r="F8" s="20" t="n">
        <f aca="false">F5-F7</f>
        <v>11203.5</v>
      </c>
    </row>
    <row r="9" customFormat="false" ht="15" hidden="false" customHeight="false" outlineLevel="0" collapsed="false">
      <c r="A9" s="5" t="s">
        <v>137</v>
      </c>
      <c r="B9" s="17" t="n">
        <v>33</v>
      </c>
      <c r="C9" s="17" t="n">
        <v>-35</v>
      </c>
      <c r="D9" s="17" t="n">
        <v>-102</v>
      </c>
      <c r="E9" s="17" t="n">
        <v>-184</v>
      </c>
      <c r="F9" s="7" t="n">
        <f aca="false">E9+Assumptions!B13</f>
        <v>-162</v>
      </c>
    </row>
    <row r="10" customFormat="false" ht="15" hidden="false" customHeight="false" outlineLevel="0" collapsed="false">
      <c r="A10" s="5" t="s">
        <v>138</v>
      </c>
      <c r="B10" s="17" t="n">
        <v>-2002</v>
      </c>
      <c r="C10" s="17" t="n">
        <v>-503</v>
      </c>
      <c r="D10" s="17" t="n">
        <v>-1479</v>
      </c>
      <c r="E10" s="17" t="n">
        <v>5168</v>
      </c>
      <c r="F10" s="20" t="n">
        <f aca="false">F8+F9</f>
        <v>11041.5</v>
      </c>
    </row>
    <row r="11" customFormat="false" ht="15" hidden="false" customHeight="false" outlineLevel="0" collapsed="false">
      <c r="A11" s="5" t="s">
        <v>139</v>
      </c>
      <c r="B11" s="17" t="n">
        <v>141</v>
      </c>
      <c r="C11" s="17" t="n">
        <v>169</v>
      </c>
      <c r="D11" s="17" t="n">
        <v>162</v>
      </c>
      <c r="E11" s="17" t="n">
        <v>638</v>
      </c>
      <c r="F11" s="7" t="n">
        <f aca="false">MAX(0,F10*Assumptions!B14)</f>
        <v>1578.9345</v>
      </c>
    </row>
    <row r="12" customFormat="false" ht="15" hidden="false" customHeight="false" outlineLevel="0" collapsed="false">
      <c r="A12" s="5" t="s">
        <v>17</v>
      </c>
      <c r="B12" s="17" t="n">
        <v>-2143</v>
      </c>
      <c r="C12" s="17" t="n">
        <v>-672</v>
      </c>
      <c r="D12" s="17" t="n">
        <v>-1641</v>
      </c>
      <c r="E12" s="17" t="n">
        <v>4530</v>
      </c>
      <c r="F12" s="20" t="n">
        <f aca="false">F10-F11</f>
        <v>9462.5655</v>
      </c>
    </row>
    <row r="13" customFormat="false" ht="15" hidden="false" customHeight="false" outlineLevel="0" collapsed="false">
      <c r="A13" s="5" t="s">
        <v>140</v>
      </c>
      <c r="B13" s="17" t="n">
        <v>145</v>
      </c>
      <c r="C13" s="17" t="n">
        <v>145</v>
      </c>
      <c r="D13" s="17" t="n">
        <v>145</v>
      </c>
      <c r="E13" s="17" t="n">
        <v>154</v>
      </c>
      <c r="F13" s="7" t="n">
        <f aca="false">Assumptions!B15</f>
        <v>156</v>
      </c>
    </row>
    <row r="14" customFormat="false" ht="15" hidden="false" customHeight="false" outlineLevel="0" collapsed="false">
      <c r="A14" s="5" t="s">
        <v>18</v>
      </c>
      <c r="B14" s="21" t="n">
        <v>-14.78</v>
      </c>
      <c r="C14" s="21" t="n">
        <v>-4.63</v>
      </c>
      <c r="D14" s="21" t="n">
        <v>-11.32</v>
      </c>
      <c r="E14" s="21" t="n">
        <v>29.42</v>
      </c>
      <c r="F14" s="22" t="n">
        <f aca="false">F12/F13</f>
        <v>60.6574711538462</v>
      </c>
    </row>
    <row r="15" customFormat="false" ht="15" hidden="false" customHeight="false" outlineLevel="0" collapsed="false">
      <c r="A15" s="5" t="s">
        <v>141</v>
      </c>
      <c r="B15" s="17" t="n">
        <v>-713</v>
      </c>
      <c r="C15" s="17" t="n">
        <v>-309</v>
      </c>
      <c r="D15" s="17" t="n">
        <v>84</v>
      </c>
      <c r="E15" s="17" t="n">
        <v>4545</v>
      </c>
      <c r="F15" s="23"/>
    </row>
    <row r="16" customFormat="false" ht="15" hidden="false" customHeight="false" outlineLevel="0" collapsed="false">
      <c r="A16" s="5" t="s">
        <v>142</v>
      </c>
      <c r="B16" s="17" t="n">
        <v>219</v>
      </c>
      <c r="C16" s="17" t="n">
        <v>166</v>
      </c>
      <c r="D16" s="17" t="n">
        <v>204</v>
      </c>
      <c r="E16" s="17" t="n">
        <v>134</v>
      </c>
      <c r="F16" s="23"/>
    </row>
    <row r="17" customFormat="false" ht="15" hidden="false" customHeight="false" outlineLevel="0" collapsed="false">
      <c r="A17" s="5"/>
      <c r="B17" s="23"/>
      <c r="C17" s="23"/>
      <c r="D17" s="23"/>
      <c r="E17" s="23"/>
      <c r="F17" s="23"/>
    </row>
    <row r="18" customFormat="false" ht="15" hidden="false" customHeight="false" outlineLevel="0" collapsed="false">
      <c r="A18" s="5" t="s">
        <v>143</v>
      </c>
      <c r="B18" s="17" t="n">
        <v>500</v>
      </c>
      <c r="C18" s="17" t="n">
        <v>325</v>
      </c>
      <c r="D18" s="17" t="n">
        <v>960</v>
      </c>
      <c r="E18" s="17" t="n">
        <v>2176</v>
      </c>
      <c r="F18" s="7" t="n">
        <f aca="false">E18+Assumptions!B10*Assumptions!B17</f>
        <v>4576</v>
      </c>
    </row>
    <row r="19" customFormat="false" ht="15" hidden="false" customHeight="false" outlineLevel="0" collapsed="false">
      <c r="A19" s="5" t="s">
        <v>144</v>
      </c>
      <c r="B19" s="17" t="n">
        <v>3637</v>
      </c>
      <c r="C19" s="17" t="n">
        <v>4069</v>
      </c>
      <c r="D19" s="17" t="n">
        <v>4127</v>
      </c>
      <c r="E19" s="17" t="n">
        <v>6728</v>
      </c>
      <c r="F19" s="7" t="n">
        <f aca="false">E19+Assumptions!B10*Assumptions!B18</f>
        <v>11368</v>
      </c>
    </row>
    <row r="20" customFormat="false" ht="15" hidden="false" customHeight="false" outlineLevel="0" collapsed="false">
      <c r="A20" s="5" t="s">
        <v>145</v>
      </c>
      <c r="B20" s="17" t="n">
        <v>1949</v>
      </c>
      <c r="C20" s="17" t="n">
        <v>2269</v>
      </c>
      <c r="D20" s="17" t="n">
        <v>2268</v>
      </c>
      <c r="E20" s="17" t="n">
        <v>2379</v>
      </c>
      <c r="F20" s="7" t="n">
        <f aca="false">E20+Assumptions!B10*Assumptions!B19</f>
        <v>3339</v>
      </c>
    </row>
    <row r="22" customFormat="false" ht="37.5" hidden="false" customHeight="true" outlineLevel="0" collapsed="false">
      <c r="A22" s="3" t="s">
        <v>146</v>
      </c>
      <c r="B22" s="24" t="s">
        <v>147</v>
      </c>
      <c r="C22" s="24"/>
      <c r="D22" s="24"/>
      <c r="E22" s="24"/>
      <c r="F22" s="24"/>
    </row>
  </sheetData>
  <mergeCells count="3">
    <mergeCell ref="A1:F1"/>
    <mergeCell ref="A2:F2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24" hidden="false" customHeight="true" outlineLevel="0" collapsed="false">
      <c r="A1" s="1" t="s">
        <v>148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149</v>
      </c>
      <c r="B2" s="2"/>
      <c r="C2" s="2"/>
      <c r="D2" s="2"/>
      <c r="E2" s="2"/>
    </row>
    <row r="3" customFormat="false" ht="15" hidden="false" customHeight="false" outlineLevel="0" collapsed="false">
      <c r="A3" s="9" t="s">
        <v>150</v>
      </c>
      <c r="B3" s="9" t="s">
        <v>12</v>
      </c>
      <c r="C3" s="9" t="s">
        <v>13</v>
      </c>
      <c r="D3" s="9" t="s">
        <v>14</v>
      </c>
      <c r="E3" s="9" t="s">
        <v>15</v>
      </c>
    </row>
    <row r="4" customFormat="false" ht="15" hidden="false" customHeight="false" outlineLevel="0" collapsed="false">
      <c r="A4" s="8" t="s">
        <v>27</v>
      </c>
      <c r="B4" s="8"/>
      <c r="C4" s="8"/>
      <c r="D4" s="8"/>
      <c r="E4" s="8"/>
    </row>
    <row r="5" customFormat="false" ht="15" hidden="false" customHeight="false" outlineLevel="0" collapsed="false">
      <c r="A5" s="5" t="s">
        <v>151</v>
      </c>
      <c r="B5" s="18" t="n">
        <v>0.12</v>
      </c>
      <c r="C5" s="18" t="n">
        <v>0.16</v>
      </c>
      <c r="D5" s="18" t="n">
        <v>0.15</v>
      </c>
      <c r="E5" s="18" t="n">
        <v>0.14</v>
      </c>
    </row>
    <row r="6" customFormat="false" ht="15" hidden="false" customHeight="false" outlineLevel="0" collapsed="false">
      <c r="A6" s="5" t="s">
        <v>152</v>
      </c>
      <c r="B6" s="25" t="n">
        <v>75</v>
      </c>
      <c r="C6" s="25" t="n">
        <v>45</v>
      </c>
      <c r="D6" s="25" t="n">
        <v>35</v>
      </c>
      <c r="E6" s="25" t="n">
        <v>32</v>
      </c>
    </row>
    <row r="7" customFormat="false" ht="15" hidden="false" customHeight="false" outlineLevel="0" collapsed="false">
      <c r="A7" s="5" t="s">
        <v>153</v>
      </c>
      <c r="B7" s="25" t="n">
        <v>98</v>
      </c>
      <c r="C7" s="25" t="n">
        <v>89</v>
      </c>
      <c r="D7" s="25" t="n">
        <v>82</v>
      </c>
      <c r="E7" s="25" t="n">
        <v>76</v>
      </c>
    </row>
    <row r="8" customFormat="false" ht="15" hidden="false" customHeight="false" outlineLevel="0" collapsed="false">
      <c r="A8" s="5" t="s">
        <v>19</v>
      </c>
      <c r="B8" s="18" t="n">
        <v>0.55</v>
      </c>
      <c r="C8" s="18" t="n">
        <v>0.3</v>
      </c>
      <c r="D8" s="18" t="n">
        <v>0.2</v>
      </c>
      <c r="E8" s="18" t="n">
        <v>0.28</v>
      </c>
    </row>
    <row r="9" customFormat="false" ht="15" hidden="false" customHeight="false" outlineLevel="0" collapsed="false">
      <c r="A9" s="5" t="s">
        <v>135</v>
      </c>
      <c r="B9" s="17" t="n">
        <v>2300</v>
      </c>
      <c r="C9" s="17" t="n">
        <v>2200</v>
      </c>
      <c r="D9" s="17" t="n">
        <v>2100</v>
      </c>
      <c r="E9" s="17" t="n">
        <v>2200</v>
      </c>
    </row>
    <row r="10" customFormat="false" ht="15" hidden="false" customHeight="false" outlineLevel="0" collapsed="false">
      <c r="A10" s="5" t="s">
        <v>154</v>
      </c>
      <c r="B10" s="17" t="n">
        <v>100</v>
      </c>
      <c r="C10" s="17" t="n">
        <v>100</v>
      </c>
      <c r="D10" s="17" t="n">
        <v>100</v>
      </c>
      <c r="E10" s="17" t="n">
        <v>100</v>
      </c>
    </row>
    <row r="11" customFormat="false" ht="15" hidden="false" customHeight="false" outlineLevel="0" collapsed="false">
      <c r="A11" s="5" t="s">
        <v>155</v>
      </c>
      <c r="B11" s="18" t="n">
        <v>0.15</v>
      </c>
      <c r="C11" s="18" t="n">
        <v>0.15</v>
      </c>
      <c r="D11" s="18" t="n">
        <v>0.15</v>
      </c>
      <c r="E11" s="18" t="n">
        <v>0.16</v>
      </c>
    </row>
    <row r="12" customFormat="false" ht="15" hidden="false" customHeight="false" outlineLevel="0" collapsed="false">
      <c r="A12" s="5" t="s">
        <v>140</v>
      </c>
      <c r="B12" s="17" t="n">
        <v>158</v>
      </c>
      <c r="C12" s="17" t="n">
        <v>158</v>
      </c>
      <c r="D12" s="17" t="n">
        <v>157</v>
      </c>
      <c r="E12" s="17" t="n">
        <v>156</v>
      </c>
    </row>
    <row r="13" customFormat="false" ht="15" hidden="false" customHeight="false" outlineLevel="0" collapsed="false">
      <c r="A13" s="5" t="s">
        <v>156</v>
      </c>
      <c r="B13" s="18" t="n">
        <v>0.3</v>
      </c>
      <c r="C13" s="18" t="n">
        <v>0.33</v>
      </c>
      <c r="D13" s="18" t="n">
        <v>0.36</v>
      </c>
      <c r="E13" s="18" t="n">
        <v>0.39</v>
      </c>
    </row>
    <row r="14" customFormat="false" ht="15" hidden="false" customHeight="false" outlineLevel="0" collapsed="false">
      <c r="A14" s="5" t="s">
        <v>157</v>
      </c>
      <c r="B14" s="18" t="n">
        <v>0.53</v>
      </c>
      <c r="C14" s="18" t="n">
        <v>0.51</v>
      </c>
      <c r="D14" s="18" t="n">
        <v>0.49</v>
      </c>
      <c r="E14" s="18" t="n">
        <v>0.47</v>
      </c>
    </row>
    <row r="15" customFormat="false" ht="15" hidden="false" customHeight="false" outlineLevel="0" collapsed="false">
      <c r="A15" s="5" t="s">
        <v>158</v>
      </c>
      <c r="B15" s="18" t="n">
        <v>0.17</v>
      </c>
      <c r="C15" s="18" t="n">
        <v>0.16</v>
      </c>
      <c r="D15" s="18" t="n">
        <v>0.15</v>
      </c>
      <c r="E15" s="18" t="n">
        <v>0.14</v>
      </c>
    </row>
    <row r="17" customFormat="false" ht="15" hidden="false" customHeight="false" outlineLevel="0" collapsed="false">
      <c r="A17" s="8" t="s">
        <v>28</v>
      </c>
      <c r="B17" s="8"/>
      <c r="C17" s="8"/>
      <c r="D17" s="8"/>
      <c r="E17" s="8"/>
    </row>
    <row r="18" customFormat="false" ht="15" hidden="false" customHeight="false" outlineLevel="0" collapsed="false">
      <c r="A18" s="5" t="s">
        <v>151</v>
      </c>
      <c r="B18" s="18" t="n">
        <v>0.23</v>
      </c>
      <c r="C18" s="18" t="n">
        <v>0.23</v>
      </c>
      <c r="D18" s="18" t="n">
        <v>0.2</v>
      </c>
      <c r="E18" s="18" t="n">
        <v>0.18</v>
      </c>
    </row>
    <row r="19" customFormat="false" ht="15" hidden="false" customHeight="false" outlineLevel="0" collapsed="false">
      <c r="A19" s="5" t="s">
        <v>152</v>
      </c>
      <c r="B19" s="25" t="n">
        <v>105</v>
      </c>
      <c r="C19" s="25" t="n">
        <v>80</v>
      </c>
      <c r="D19" s="25" t="n">
        <v>60</v>
      </c>
      <c r="E19" s="25" t="n">
        <v>50</v>
      </c>
    </row>
    <row r="20" customFormat="false" ht="15" hidden="false" customHeight="false" outlineLevel="0" collapsed="false">
      <c r="A20" s="5" t="s">
        <v>153</v>
      </c>
      <c r="B20" s="25" t="n">
        <v>90</v>
      </c>
      <c r="C20" s="25" t="n">
        <v>79</v>
      </c>
      <c r="D20" s="25" t="n">
        <v>70</v>
      </c>
      <c r="E20" s="25" t="n">
        <v>62</v>
      </c>
    </row>
    <row r="21" customFormat="false" ht="15" hidden="false" customHeight="false" outlineLevel="0" collapsed="false">
      <c r="A21" s="5" t="s">
        <v>19</v>
      </c>
      <c r="B21" s="18" t="n">
        <v>0.74</v>
      </c>
      <c r="C21" s="18" t="n">
        <v>0.58</v>
      </c>
      <c r="D21" s="18" t="n">
        <v>0.46</v>
      </c>
      <c r="E21" s="18" t="n">
        <v>0.42</v>
      </c>
    </row>
    <row r="22" customFormat="false" ht="15" hidden="false" customHeight="false" outlineLevel="0" collapsed="false">
      <c r="A22" s="5" t="s">
        <v>135</v>
      </c>
      <c r="B22" s="17" t="n">
        <v>2450</v>
      </c>
      <c r="C22" s="17" t="n">
        <v>2650</v>
      </c>
      <c r="D22" s="17" t="n">
        <v>2850</v>
      </c>
      <c r="E22" s="17" t="n">
        <v>3050</v>
      </c>
    </row>
    <row r="23" customFormat="false" ht="15" hidden="false" customHeight="false" outlineLevel="0" collapsed="false">
      <c r="A23" s="5" t="s">
        <v>154</v>
      </c>
      <c r="B23" s="17" t="n">
        <v>200</v>
      </c>
      <c r="C23" s="17" t="n">
        <v>300</v>
      </c>
      <c r="D23" s="17" t="n">
        <v>400</v>
      </c>
      <c r="E23" s="17" t="n">
        <v>500</v>
      </c>
    </row>
    <row r="24" customFormat="false" ht="15" hidden="false" customHeight="false" outlineLevel="0" collapsed="false">
      <c r="A24" s="5" t="s">
        <v>155</v>
      </c>
      <c r="B24" s="18" t="n">
        <v>0.15</v>
      </c>
      <c r="C24" s="18" t="n">
        <v>0.16</v>
      </c>
      <c r="D24" s="18" t="n">
        <v>0.17</v>
      </c>
      <c r="E24" s="18" t="n">
        <v>0.18</v>
      </c>
    </row>
    <row r="25" customFormat="false" ht="15" hidden="false" customHeight="false" outlineLevel="0" collapsed="false">
      <c r="A25" s="5" t="s">
        <v>140</v>
      </c>
      <c r="B25" s="17" t="n">
        <v>154</v>
      </c>
      <c r="C25" s="17" t="n">
        <v>152</v>
      </c>
      <c r="D25" s="17" t="n">
        <v>151</v>
      </c>
      <c r="E25" s="17" t="n">
        <v>150</v>
      </c>
    </row>
    <row r="26" customFormat="false" ht="15" hidden="false" customHeight="false" outlineLevel="0" collapsed="false">
      <c r="A26" s="5" t="s">
        <v>156</v>
      </c>
      <c r="B26" s="18" t="n">
        <v>0.35</v>
      </c>
      <c r="C26" s="18" t="n">
        <v>0.44</v>
      </c>
      <c r="D26" s="18" t="n">
        <v>0.49</v>
      </c>
      <c r="E26" s="18" t="n">
        <v>0.53</v>
      </c>
    </row>
    <row r="27" customFormat="false" ht="15" hidden="false" customHeight="false" outlineLevel="0" collapsed="false">
      <c r="A27" s="5" t="s">
        <v>157</v>
      </c>
      <c r="B27" s="18" t="n">
        <v>0.5</v>
      </c>
      <c r="C27" s="18" t="n">
        <v>0.43</v>
      </c>
      <c r="D27" s="18" t="n">
        <v>0.39</v>
      </c>
      <c r="E27" s="18" t="n">
        <v>0.36</v>
      </c>
    </row>
    <row r="28" customFormat="false" ht="15" hidden="false" customHeight="false" outlineLevel="0" collapsed="false">
      <c r="A28" s="5" t="s">
        <v>158</v>
      </c>
      <c r="B28" s="18" t="n">
        <v>0.15</v>
      </c>
      <c r="C28" s="18" t="n">
        <v>0.13</v>
      </c>
      <c r="D28" s="18" t="n">
        <v>0.12</v>
      </c>
      <c r="E28" s="18" t="n">
        <v>0.11</v>
      </c>
    </row>
    <row r="30" customFormat="false" ht="15" hidden="false" customHeight="false" outlineLevel="0" collapsed="false">
      <c r="A30" s="8" t="s">
        <v>29</v>
      </c>
      <c r="B30" s="8"/>
      <c r="C30" s="8"/>
      <c r="D30" s="8"/>
      <c r="E30" s="8"/>
    </row>
    <row r="31" customFormat="false" ht="15" hidden="false" customHeight="false" outlineLevel="0" collapsed="false">
      <c r="A31" s="5" t="s">
        <v>151</v>
      </c>
      <c r="B31" s="18" t="n">
        <v>0.33</v>
      </c>
      <c r="C31" s="18" t="n">
        <v>0.3</v>
      </c>
      <c r="D31" s="18" t="n">
        <v>0.26</v>
      </c>
      <c r="E31" s="18" t="n">
        <v>0.23</v>
      </c>
    </row>
    <row r="32" customFormat="false" ht="15" hidden="false" customHeight="false" outlineLevel="0" collapsed="false">
      <c r="A32" s="5" t="s">
        <v>152</v>
      </c>
      <c r="B32" s="25" t="n">
        <v>125</v>
      </c>
      <c r="C32" s="25" t="n">
        <v>118</v>
      </c>
      <c r="D32" s="25" t="n">
        <v>105</v>
      </c>
      <c r="E32" s="25" t="n">
        <v>90</v>
      </c>
    </row>
    <row r="33" customFormat="false" ht="15" hidden="false" customHeight="false" outlineLevel="0" collapsed="false">
      <c r="A33" s="5" t="s">
        <v>153</v>
      </c>
      <c r="B33" s="25" t="n">
        <v>86</v>
      </c>
      <c r="C33" s="25" t="n">
        <v>73</v>
      </c>
      <c r="D33" s="25" t="n">
        <v>64</v>
      </c>
      <c r="E33" s="25" t="n">
        <v>55</v>
      </c>
    </row>
    <row r="34" customFormat="false" ht="15" hidden="false" customHeight="false" outlineLevel="0" collapsed="false">
      <c r="A34" s="5" t="s">
        <v>19</v>
      </c>
      <c r="B34" s="18" t="n">
        <v>0.8</v>
      </c>
      <c r="C34" s="18" t="n">
        <v>0.76</v>
      </c>
      <c r="D34" s="18" t="n">
        <v>0.68</v>
      </c>
      <c r="E34" s="18" t="n">
        <v>0.6</v>
      </c>
    </row>
    <row r="35" customFormat="false" ht="15" hidden="false" customHeight="false" outlineLevel="0" collapsed="false">
      <c r="A35" s="5" t="s">
        <v>135</v>
      </c>
      <c r="B35" s="17" t="n">
        <v>2600</v>
      </c>
      <c r="C35" s="17" t="n">
        <v>3000</v>
      </c>
      <c r="D35" s="17" t="n">
        <v>3400</v>
      </c>
      <c r="E35" s="17" t="n">
        <v>3800</v>
      </c>
    </row>
    <row r="36" customFormat="false" ht="15" hidden="false" customHeight="false" outlineLevel="0" collapsed="false">
      <c r="A36" s="5" t="s">
        <v>154</v>
      </c>
      <c r="B36" s="17" t="n">
        <v>200</v>
      </c>
      <c r="C36" s="17" t="n">
        <v>350</v>
      </c>
      <c r="D36" s="17" t="n">
        <v>500</v>
      </c>
      <c r="E36" s="17" t="n">
        <v>700</v>
      </c>
    </row>
    <row r="37" customFormat="false" ht="15" hidden="false" customHeight="false" outlineLevel="0" collapsed="false">
      <c r="A37" s="5" t="s">
        <v>155</v>
      </c>
      <c r="B37" s="18" t="n">
        <v>0.15</v>
      </c>
      <c r="C37" s="18" t="n">
        <v>0.16</v>
      </c>
      <c r="D37" s="18" t="n">
        <v>0.17</v>
      </c>
      <c r="E37" s="18" t="n">
        <v>0.18</v>
      </c>
    </row>
    <row r="38" customFormat="false" ht="15" hidden="false" customHeight="false" outlineLevel="0" collapsed="false">
      <c r="A38" s="5" t="s">
        <v>140</v>
      </c>
      <c r="B38" s="17" t="n">
        <v>153</v>
      </c>
      <c r="C38" s="17" t="n">
        <v>148</v>
      </c>
      <c r="D38" s="17" t="n">
        <v>144</v>
      </c>
      <c r="E38" s="17" t="n">
        <v>140</v>
      </c>
    </row>
    <row r="39" customFormat="false" ht="15" hidden="false" customHeight="false" outlineLevel="0" collapsed="false">
      <c r="A39" s="5" t="s">
        <v>156</v>
      </c>
      <c r="B39" s="18" t="n">
        <v>0.42</v>
      </c>
      <c r="C39" s="18" t="n">
        <v>0.55</v>
      </c>
      <c r="D39" s="18" t="n">
        <v>0.61</v>
      </c>
      <c r="E39" s="18" t="n">
        <v>0.65</v>
      </c>
    </row>
    <row r="40" customFormat="false" ht="15" hidden="false" customHeight="false" outlineLevel="0" collapsed="false">
      <c r="A40" s="5" t="s">
        <v>157</v>
      </c>
      <c r="B40" s="18" t="n">
        <v>0.46</v>
      </c>
      <c r="C40" s="18" t="n">
        <v>0.35</v>
      </c>
      <c r="D40" s="18" t="n">
        <v>0.3</v>
      </c>
      <c r="E40" s="18" t="n">
        <v>0.27</v>
      </c>
    </row>
    <row r="41" customFormat="false" ht="15" hidden="false" customHeight="false" outlineLevel="0" collapsed="false">
      <c r="A41" s="5" t="s">
        <v>158</v>
      </c>
      <c r="B41" s="18" t="n">
        <v>0.12</v>
      </c>
      <c r="C41" s="18" t="n">
        <v>0.1</v>
      </c>
      <c r="D41" s="18" t="n">
        <v>0.09</v>
      </c>
      <c r="E41" s="18" t="n">
        <v>0.08</v>
      </c>
    </row>
    <row r="43" customFormat="false" ht="51.75" hidden="false" customHeight="true" outlineLevel="0" collapsed="false">
      <c r="A43" s="26" t="s">
        <v>159</v>
      </c>
      <c r="B43" s="24" t="s">
        <v>160</v>
      </c>
      <c r="C43" s="24"/>
      <c r="D43" s="24"/>
      <c r="E43" s="24"/>
    </row>
  </sheetData>
  <mergeCells count="6">
    <mergeCell ref="A1:E1"/>
    <mergeCell ref="A2:E2"/>
    <mergeCell ref="A4:E4"/>
    <mergeCell ref="A17:E17"/>
    <mergeCell ref="A30:E30"/>
    <mergeCell ref="B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161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162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9" t="s">
        <v>21</v>
      </c>
      <c r="B4" s="9" t="s">
        <v>22</v>
      </c>
    </row>
    <row r="5" customFormat="false" ht="15" hidden="false" customHeight="false" outlineLevel="0" collapsed="false">
      <c r="A5" s="5" t="s">
        <v>27</v>
      </c>
      <c r="B5" s="18" t="n">
        <v>0.3</v>
      </c>
    </row>
    <row r="6" customFormat="false" ht="15" hidden="false" customHeight="false" outlineLevel="0" collapsed="false">
      <c r="A6" s="5" t="s">
        <v>28</v>
      </c>
      <c r="B6" s="18" t="n">
        <v>0.5</v>
      </c>
    </row>
    <row r="7" customFormat="false" ht="15" hidden="false" customHeight="false" outlineLevel="0" collapsed="false">
      <c r="A7" s="5" t="s">
        <v>29</v>
      </c>
      <c r="B7" s="18" t="n">
        <v>0.2</v>
      </c>
    </row>
    <row r="8" customFormat="false" ht="15" hidden="false" customHeight="false" outlineLevel="0" collapsed="false">
      <c r="A8" s="13" t="s">
        <v>163</v>
      </c>
      <c r="B8" s="27" t="n">
        <f aca="false">SUM(B5:B7)</f>
        <v>1</v>
      </c>
    </row>
    <row r="10" customFormat="false" ht="15" hidden="false" customHeight="false" outlineLevel="0" collapsed="false">
      <c r="A10" s="8" t="s">
        <v>16</v>
      </c>
      <c r="B10" s="8"/>
      <c r="C10" s="8"/>
      <c r="D10" s="8"/>
      <c r="E10" s="8"/>
    </row>
    <row r="11" customFormat="false" ht="15" hidden="false" customHeight="false" outlineLevel="0" collapsed="false">
      <c r="A11" s="9" t="s">
        <v>21</v>
      </c>
      <c r="B11" s="9" t="s">
        <v>12</v>
      </c>
      <c r="C11" s="9" t="s">
        <v>13</v>
      </c>
      <c r="D11" s="9" t="s">
        <v>14</v>
      </c>
      <c r="E11" s="9" t="s">
        <v>15</v>
      </c>
    </row>
    <row r="12" customFormat="false" ht="15" hidden="false" customHeight="false" outlineLevel="0" collapsed="false">
      <c r="A12" s="5" t="s">
        <v>27</v>
      </c>
      <c r="B12" s="7" t="n">
        <f aca="false">Forecast!$B$4*(1+Drivers!B5)*(Drivers!B6/Assumptions!$B$16)</f>
        <v>21596.96</v>
      </c>
      <c r="C12" s="7" t="n">
        <f aca="false">B12*(1+Drivers!C5)*(Drivers!C6/Drivers!B6)</f>
        <v>15031.48416</v>
      </c>
      <c r="D12" s="7" t="n">
        <f aca="false">C12*(1+Drivers!D5)*(Drivers!D6/Drivers!C6)</f>
        <v>13444.8274986667</v>
      </c>
      <c r="E12" s="7" t="n">
        <f aca="false">D12*(1+Drivers!E5)*(Drivers!E6/Drivers!D6)</f>
        <v>14013.351632896</v>
      </c>
    </row>
    <row r="13" customFormat="false" ht="15" hidden="false" customHeight="false" outlineLevel="0" collapsed="false">
      <c r="A13" s="5" t="s">
        <v>28</v>
      </c>
      <c r="B13" s="7" t="n">
        <f aca="false">Forecast!$B$4*(1+Drivers!B18)*(Drivers!B19/Assumptions!$B$16)</f>
        <v>33205.326</v>
      </c>
      <c r="C13" s="7" t="n">
        <f aca="false">B13*(1+Drivers!C18)*(Drivers!C19/Drivers!B19)</f>
        <v>31118.13408</v>
      </c>
      <c r="D13" s="7" t="n">
        <f aca="false">C13*(1+Drivers!D18)*(Drivers!D19/Drivers!C19)</f>
        <v>28006.320672</v>
      </c>
      <c r="E13" s="7" t="n">
        <f aca="false">D13*(1+Drivers!E18)*(Drivers!E19/Drivers!D19)</f>
        <v>27539.5486608</v>
      </c>
    </row>
    <row r="14" customFormat="false" ht="15" hidden="false" customHeight="false" outlineLevel="0" collapsed="false">
      <c r="A14" s="5" t="s">
        <v>29</v>
      </c>
      <c r="B14" s="7" t="n">
        <f aca="false">Forecast!$B$4*(1+Drivers!B31)*(Drivers!B32/Assumptions!$B$16)</f>
        <v>42743.9833333333</v>
      </c>
      <c r="C14" s="7" t="n">
        <f aca="false">B14*(1+Drivers!C31)*(Drivers!C32/Drivers!B32)</f>
        <v>52455.4163466667</v>
      </c>
      <c r="D14" s="7" t="n">
        <f aca="false">C14*(1+Drivers!D31)*(Drivers!D32/Drivers!C32)</f>
        <v>58812.301548</v>
      </c>
      <c r="E14" s="7" t="n">
        <f aca="false">D14*(1+Drivers!E31)*(Drivers!E32/Drivers!D32)</f>
        <v>62004.96934632</v>
      </c>
    </row>
    <row r="16" customFormat="false" ht="15" hidden="false" customHeight="false" outlineLevel="0" collapsed="false">
      <c r="A16" s="8" t="s">
        <v>17</v>
      </c>
      <c r="B16" s="8"/>
      <c r="C16" s="8"/>
      <c r="D16" s="8"/>
      <c r="E16" s="8"/>
    </row>
    <row r="17" customFormat="false" ht="15" hidden="false" customHeight="false" outlineLevel="0" collapsed="false">
      <c r="A17" s="9" t="s">
        <v>21</v>
      </c>
      <c r="B17" s="9" t="s">
        <v>12</v>
      </c>
      <c r="C17" s="9" t="s">
        <v>13</v>
      </c>
      <c r="D17" s="9" t="s">
        <v>14</v>
      </c>
      <c r="E17" s="9" t="s">
        <v>15</v>
      </c>
    </row>
    <row r="18" customFormat="false" ht="15" hidden="false" customHeight="false" outlineLevel="0" collapsed="false">
      <c r="A18" s="5" t="s">
        <v>27</v>
      </c>
      <c r="B18" s="7" t="n">
        <f aca="false">(B12*Drivers!B8-Drivers!B9+Drivers!B10)-MAX(0,(B12*Drivers!B8-Drivers!B9+Drivers!B10)*Drivers!B11)</f>
        <v>8226.5788</v>
      </c>
      <c r="C18" s="7" t="n">
        <f aca="false">(C12*Drivers!C8-Drivers!C9+Drivers!C10)-MAX(0,(C12*Drivers!C8-Drivers!C9+Drivers!C10)*Drivers!C11)</f>
        <v>2048.0284608</v>
      </c>
      <c r="D18" s="7" t="n">
        <f aca="false">(D12*Drivers!D8-Drivers!D9+Drivers!D10)-MAX(0,(D12*Drivers!D8-Drivers!D9+Drivers!D10)*Drivers!D11)</f>
        <v>585.620674773333</v>
      </c>
      <c r="E18" s="7" t="n">
        <f aca="false">(E12*Drivers!E8-Drivers!E9+Drivers!E10)-MAX(0,(E12*Drivers!E8-Drivers!E9+Drivers!E10)*Drivers!E11)</f>
        <v>1531.94030405714</v>
      </c>
    </row>
    <row r="19" customFormat="false" ht="15" hidden="false" customHeight="false" outlineLevel="0" collapsed="false">
      <c r="A19" s="5" t="s">
        <v>28</v>
      </c>
      <c r="B19" s="7" t="n">
        <f aca="false">(B13*Drivers!B21-Drivers!B22+Drivers!B23)-MAX(0,(B13*Drivers!B21-Drivers!B22+Drivers!B23)*Drivers!B24)</f>
        <v>18973.650054</v>
      </c>
      <c r="C19" s="7" t="n">
        <f aca="false">(C13*Drivers!C21-Drivers!C22+Drivers!C23)-MAX(0,(C13*Drivers!C21-Drivers!C22+Drivers!C23)*Drivers!C24)</f>
        <v>13186.754923776</v>
      </c>
      <c r="D19" s="7" t="n">
        <f aca="false">(D13*Drivers!D21-Drivers!D22+Drivers!D23)-MAX(0,(D13*Drivers!D21-Drivers!D22+Drivers!D23)*Drivers!D24)</f>
        <v>8659.3132325696</v>
      </c>
      <c r="E19" s="7" t="n">
        <f aca="false">(E13*Drivers!E21-Drivers!E22+Drivers!E23)-MAX(0,(E13*Drivers!E21-Drivers!E22+Drivers!E23)*Drivers!E24)</f>
        <v>7393.62055877952</v>
      </c>
    </row>
    <row r="20" customFormat="false" ht="15" hidden="false" customHeight="false" outlineLevel="0" collapsed="false">
      <c r="A20" s="5" t="s">
        <v>29</v>
      </c>
      <c r="B20" s="7" t="n">
        <f aca="false">(B14*Drivers!B34-Drivers!B35+Drivers!B36)-MAX(0,(B14*Drivers!B34-Drivers!B35+Drivers!B36)*Drivers!B37)</f>
        <v>27025.9086666667</v>
      </c>
      <c r="C20" s="7" t="n">
        <f aca="false">(C14*Drivers!C34-Drivers!C35+Drivers!C36)-MAX(0,(C14*Drivers!C34-Drivers!C35+Drivers!C36)*Drivers!C37)</f>
        <v>31261.537795712</v>
      </c>
      <c r="D20" s="7" t="n">
        <f aca="false">(D14*Drivers!D34-Drivers!D35+Drivers!D36)-MAX(0,(D14*Drivers!D34-Drivers!D35+Drivers!D36)*Drivers!D37)</f>
        <v>30786.6629936912</v>
      </c>
      <c r="E20" s="7" t="n">
        <f aca="false">(E14*Drivers!E34-Drivers!E35+Drivers!E36)-MAX(0,(E14*Drivers!E34-Drivers!E35+Drivers!E36)*Drivers!E37)</f>
        <v>27964.4449183894</v>
      </c>
    </row>
    <row r="22" customFormat="false" ht="15" hidden="false" customHeight="false" outlineLevel="0" collapsed="false">
      <c r="A22" s="8" t="s">
        <v>18</v>
      </c>
      <c r="B22" s="8"/>
      <c r="C22" s="8"/>
      <c r="D22" s="8"/>
      <c r="E22" s="8"/>
    </row>
    <row r="23" customFormat="false" ht="15" hidden="false" customHeight="false" outlineLevel="0" collapsed="false">
      <c r="A23" s="9" t="s">
        <v>21</v>
      </c>
      <c r="B23" s="9" t="s">
        <v>12</v>
      </c>
      <c r="C23" s="9" t="s">
        <v>13</v>
      </c>
      <c r="D23" s="9" t="s">
        <v>14</v>
      </c>
      <c r="E23" s="9" t="s">
        <v>15</v>
      </c>
    </row>
    <row r="24" customFormat="false" ht="15" hidden="false" customHeight="false" outlineLevel="0" collapsed="false">
      <c r="A24" s="5" t="s">
        <v>27</v>
      </c>
      <c r="B24" s="10" t="n">
        <f aca="false">B18/Drivers!B12</f>
        <v>52.0669544303798</v>
      </c>
      <c r="C24" s="10" t="n">
        <f aca="false">C18/Drivers!C12</f>
        <v>12.9622054481013</v>
      </c>
      <c r="D24" s="10" t="n">
        <f aca="false">D18/Drivers!D12</f>
        <v>3.73006799218684</v>
      </c>
      <c r="E24" s="10" t="n">
        <f aca="false">E18/Drivers!E12</f>
        <v>9.82013015421244</v>
      </c>
    </row>
    <row r="25" customFormat="false" ht="15" hidden="false" customHeight="false" outlineLevel="0" collapsed="false">
      <c r="A25" s="5" t="s">
        <v>28</v>
      </c>
      <c r="B25" s="10" t="n">
        <f aca="false">B19/Drivers!B25</f>
        <v>123.205519831169</v>
      </c>
      <c r="C25" s="10" t="n">
        <f aca="false">C19/Drivers!C25</f>
        <v>86.7549666037895</v>
      </c>
      <c r="D25" s="10" t="n">
        <f aca="false">D19/Drivers!D25</f>
        <v>57.3464452488053</v>
      </c>
      <c r="E25" s="10" t="n">
        <f aca="false">E19/Drivers!E25</f>
        <v>49.2908037251968</v>
      </c>
    </row>
    <row r="26" customFormat="false" ht="15" hidden="false" customHeight="false" outlineLevel="0" collapsed="false">
      <c r="A26" s="5" t="s">
        <v>29</v>
      </c>
      <c r="B26" s="10" t="n">
        <f aca="false">B20/Drivers!B38</f>
        <v>176.639925925926</v>
      </c>
      <c r="C26" s="10" t="n">
        <f aca="false">C20/Drivers!C38</f>
        <v>211.226606727784</v>
      </c>
      <c r="D26" s="10" t="n">
        <f aca="false">D20/Drivers!D38</f>
        <v>213.796270789522</v>
      </c>
      <c r="E26" s="10" t="n">
        <f aca="false">E20/Drivers!E38</f>
        <v>199.746035131353</v>
      </c>
    </row>
    <row r="28" customFormat="false" ht="42" hidden="false" customHeight="true" outlineLevel="0" collapsed="false">
      <c r="A28" s="26" t="s">
        <v>164</v>
      </c>
      <c r="B28" s="24" t="s">
        <v>165</v>
      </c>
      <c r="C28" s="24"/>
      <c r="D28" s="24"/>
      <c r="E28" s="24"/>
      <c r="F28" s="24"/>
    </row>
  </sheetData>
  <mergeCells count="6">
    <mergeCell ref="A1:F1"/>
    <mergeCell ref="A2:F2"/>
    <mergeCell ref="A10:E10"/>
    <mergeCell ref="A16:E16"/>
    <mergeCell ref="A22:E22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24" hidden="false" customHeight="true" outlineLevel="0" collapsed="false">
      <c r="A1" s="1" t="s">
        <v>166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167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</row>
    <row r="4" customFormat="false" ht="15" hidden="false" customHeight="false" outlineLevel="0" collapsed="false">
      <c r="A4" s="5" t="s">
        <v>16</v>
      </c>
      <c r="B4" s="7" t="n">
        <f aca="false">Historicals!F4</f>
        <v>19283</v>
      </c>
      <c r="C4" s="7" t="n">
        <f aca="false">B4*(1+Drivers!B18)*(Drivers!B19/Assumptions!B16)</f>
        <v>33205.326</v>
      </c>
      <c r="D4" s="7" t="n">
        <f aca="false">C4*(1+Drivers!C18)*(Drivers!C19/Drivers!B19)</f>
        <v>31118.13408</v>
      </c>
      <c r="E4" s="7" t="n">
        <f aca="false">D4*(1+Drivers!D18)*(Drivers!D19/Drivers!C19)</f>
        <v>28006.320672</v>
      </c>
      <c r="F4" s="7" t="n">
        <f aca="false">E4*(1+Drivers!E18)*(Drivers!E19/Drivers!D19)</f>
        <v>27539.5486608</v>
      </c>
    </row>
    <row r="5" customFormat="false" ht="15" hidden="false" customHeight="false" outlineLevel="0" collapsed="false">
      <c r="A5" s="5" t="s">
        <v>134</v>
      </c>
      <c r="B5" s="7" t="n">
        <f aca="false">Historicals!F5</f>
        <v>13282</v>
      </c>
      <c r="C5" s="20" t="n">
        <f aca="false">C4*C6</f>
        <v>24571.94124</v>
      </c>
      <c r="D5" s="20" t="n">
        <f aca="false">D4*D6</f>
        <v>18048.5177664</v>
      </c>
      <c r="E5" s="20" t="n">
        <f aca="false">E4*E6</f>
        <v>12882.90750912</v>
      </c>
      <c r="F5" s="20" t="n">
        <f aca="false">F4*F6</f>
        <v>11566.610437536</v>
      </c>
    </row>
    <row r="6" customFormat="false" ht="15" hidden="false" customHeight="false" outlineLevel="0" collapsed="false">
      <c r="A6" s="5" t="s">
        <v>19</v>
      </c>
      <c r="B6" s="12" t="n">
        <f aca="false">B5/B4</f>
        <v>0.688793237566769</v>
      </c>
      <c r="C6" s="11" t="n">
        <f aca="false">Drivers!B21</f>
        <v>0.74</v>
      </c>
      <c r="D6" s="11" t="n">
        <f aca="false">Drivers!C21</f>
        <v>0.58</v>
      </c>
      <c r="E6" s="11" t="n">
        <f aca="false">Drivers!D21</f>
        <v>0.46</v>
      </c>
      <c r="F6" s="11" t="n">
        <f aca="false">Drivers!E21</f>
        <v>0.42</v>
      </c>
    </row>
    <row r="7" customFormat="false" ht="15" hidden="false" customHeight="false" outlineLevel="0" collapsed="false">
      <c r="A7" s="5" t="s">
        <v>135</v>
      </c>
      <c r="B7" s="7" t="n">
        <f aca="false">Historicals!F7</f>
        <v>2078.5</v>
      </c>
      <c r="C7" s="7" t="n">
        <f aca="false">Drivers!B22</f>
        <v>2450</v>
      </c>
      <c r="D7" s="7" t="n">
        <f aca="false">Drivers!C22</f>
        <v>2650</v>
      </c>
      <c r="E7" s="7" t="n">
        <f aca="false">Drivers!D22</f>
        <v>2850</v>
      </c>
      <c r="F7" s="7" t="n">
        <f aca="false">Drivers!E22</f>
        <v>3050</v>
      </c>
    </row>
    <row r="8" customFormat="false" ht="15" hidden="false" customHeight="false" outlineLevel="0" collapsed="false">
      <c r="A8" s="5" t="s">
        <v>136</v>
      </c>
      <c r="B8" s="20" t="n">
        <f aca="false">B5-B7</f>
        <v>11203.5</v>
      </c>
      <c r="C8" s="20" t="n">
        <f aca="false">C5-C7</f>
        <v>22121.94124</v>
      </c>
      <c r="D8" s="20" t="n">
        <f aca="false">D5-D7</f>
        <v>15398.5177664</v>
      </c>
      <c r="E8" s="20" t="n">
        <f aca="false">E5-E7</f>
        <v>10032.90750912</v>
      </c>
      <c r="F8" s="20" t="n">
        <f aca="false">F5-F7</f>
        <v>8516.610437536</v>
      </c>
    </row>
    <row r="9" customFormat="false" ht="15" hidden="false" customHeight="false" outlineLevel="0" collapsed="false">
      <c r="A9" s="5" t="s">
        <v>154</v>
      </c>
      <c r="B9" s="7" t="n">
        <f aca="false">Historicals!F9</f>
        <v>-162</v>
      </c>
      <c r="C9" s="7" t="n">
        <f aca="false">Drivers!B23</f>
        <v>200</v>
      </c>
      <c r="D9" s="7" t="n">
        <f aca="false">Drivers!C23</f>
        <v>300</v>
      </c>
      <c r="E9" s="7" t="n">
        <f aca="false">Drivers!D23</f>
        <v>400</v>
      </c>
      <c r="F9" s="7" t="n">
        <f aca="false">Drivers!E23</f>
        <v>500</v>
      </c>
    </row>
    <row r="10" customFormat="false" ht="15" hidden="false" customHeight="false" outlineLevel="0" collapsed="false">
      <c r="A10" s="5" t="s">
        <v>138</v>
      </c>
      <c r="B10" s="20" t="n">
        <f aca="false">B8+B9</f>
        <v>11041.5</v>
      </c>
      <c r="C10" s="20" t="n">
        <f aca="false">C8+C9</f>
        <v>22321.94124</v>
      </c>
      <c r="D10" s="20" t="n">
        <f aca="false">D8+D9</f>
        <v>15698.5177664</v>
      </c>
      <c r="E10" s="20" t="n">
        <f aca="false">E8+E9</f>
        <v>10432.90750912</v>
      </c>
      <c r="F10" s="20" t="n">
        <f aca="false">F8+F9</f>
        <v>9016.610437536</v>
      </c>
    </row>
    <row r="11" customFormat="false" ht="15" hidden="false" customHeight="false" outlineLevel="0" collapsed="false">
      <c r="A11" s="5" t="s">
        <v>139</v>
      </c>
      <c r="B11" s="7" t="n">
        <f aca="false">Historicals!F11</f>
        <v>1578.9345</v>
      </c>
      <c r="C11" s="7" t="n">
        <f aca="false">MAX(0,C10*Drivers!B24)</f>
        <v>3348.291186</v>
      </c>
      <c r="D11" s="7" t="n">
        <f aca="false">MAX(0,D10*Drivers!C24)</f>
        <v>2511.762842624</v>
      </c>
      <c r="E11" s="7" t="n">
        <f aca="false">MAX(0,E10*Drivers!D24)</f>
        <v>1773.5942765504</v>
      </c>
      <c r="F11" s="7" t="n">
        <f aca="false">MAX(0,F10*Drivers!E24)</f>
        <v>1622.98987875648</v>
      </c>
    </row>
    <row r="12" customFormat="false" ht="15" hidden="false" customHeight="false" outlineLevel="0" collapsed="false">
      <c r="A12" s="5" t="s">
        <v>17</v>
      </c>
      <c r="B12" s="20" t="n">
        <f aca="false">B10-B11</f>
        <v>9462.5655</v>
      </c>
      <c r="C12" s="20" t="n">
        <f aca="false">C10-C11</f>
        <v>18973.650054</v>
      </c>
      <c r="D12" s="20" t="n">
        <f aca="false">D10-D11</f>
        <v>13186.754923776</v>
      </c>
      <c r="E12" s="20" t="n">
        <f aca="false">E10-E11</f>
        <v>8659.3132325696</v>
      </c>
      <c r="F12" s="20" t="n">
        <f aca="false">F10-F11</f>
        <v>7393.62055877952</v>
      </c>
    </row>
    <row r="13" customFormat="false" ht="15" hidden="false" customHeight="false" outlineLevel="0" collapsed="false">
      <c r="A13" s="5" t="s">
        <v>140</v>
      </c>
      <c r="B13" s="7" t="n">
        <f aca="false">Historicals!F13</f>
        <v>156</v>
      </c>
      <c r="C13" s="7" t="n">
        <f aca="false">Drivers!B25</f>
        <v>154</v>
      </c>
      <c r="D13" s="7" t="n">
        <f aca="false">Drivers!C25</f>
        <v>152</v>
      </c>
      <c r="E13" s="7" t="n">
        <f aca="false">Drivers!D25</f>
        <v>151</v>
      </c>
      <c r="F13" s="7" t="n">
        <f aca="false">Drivers!E25</f>
        <v>150</v>
      </c>
    </row>
    <row r="14" customFormat="false" ht="15" hidden="false" customHeight="false" outlineLevel="0" collapsed="false">
      <c r="A14" s="5" t="s">
        <v>18</v>
      </c>
      <c r="B14" s="22" t="n">
        <f aca="false">B12/B13</f>
        <v>60.6574711538462</v>
      </c>
      <c r="C14" s="22" t="n">
        <f aca="false">C12/C13</f>
        <v>123.205519831169</v>
      </c>
      <c r="D14" s="22" t="n">
        <f aca="false">D12/D13</f>
        <v>86.7549666037895</v>
      </c>
      <c r="E14" s="22" t="n">
        <f aca="false">E12/E13</f>
        <v>57.3464452488053</v>
      </c>
      <c r="F14" s="22" t="n">
        <f aca="false">F12/F13</f>
        <v>49.2908037251968</v>
      </c>
    </row>
    <row r="15" customFormat="false" ht="15" hidden="false" customHeight="false" outlineLevel="0" collapsed="false">
      <c r="A15" s="5" t="s">
        <v>168</v>
      </c>
      <c r="B15" s="7" t="n">
        <f aca="false">B8+Assumptions!B20</f>
        <v>11353.5</v>
      </c>
      <c r="C15" s="7" t="n">
        <f aca="false">C8+Assumptions!$B$20</f>
        <v>22271.94124</v>
      </c>
      <c r="D15" s="7" t="n">
        <f aca="false">D8+Assumptions!$B$20</f>
        <v>15548.5177664</v>
      </c>
      <c r="E15" s="7" t="n">
        <f aca="false">E8+Assumptions!$B$20</f>
        <v>10182.90750912</v>
      </c>
      <c r="F15" s="7" t="n">
        <f aca="false">F8+Assumptions!$B$20</f>
        <v>8666.610437536</v>
      </c>
    </row>
    <row r="16" customFormat="false" ht="15" hidden="false" customHeight="false" outlineLevel="0" collapsed="false">
      <c r="A16" s="5" t="s">
        <v>169</v>
      </c>
      <c r="B16" s="7" t="n">
        <f aca="false">Historicals!F18</f>
        <v>4576</v>
      </c>
      <c r="C16" s="7" t="n">
        <f aca="false">C4*Drivers!B26</f>
        <v>11621.8641</v>
      </c>
      <c r="D16" s="7" t="n">
        <f aca="false">D4*Drivers!C26</f>
        <v>13691.9789952</v>
      </c>
      <c r="E16" s="7" t="n">
        <f aca="false">E4*Drivers!D26</f>
        <v>13723.09712928</v>
      </c>
      <c r="F16" s="7" t="n">
        <f aca="false">F4*Drivers!E26</f>
        <v>14595.960790224</v>
      </c>
    </row>
    <row r="17" customFormat="false" ht="15" hidden="false" customHeight="false" outlineLevel="0" collapsed="false">
      <c r="A17" s="5" t="s">
        <v>170</v>
      </c>
      <c r="B17" s="7" t="n">
        <f aca="false">Historicals!F19</f>
        <v>11368</v>
      </c>
      <c r="C17" s="7" t="n">
        <f aca="false">C4*Drivers!B27</f>
        <v>16602.663</v>
      </c>
      <c r="D17" s="7" t="n">
        <f aca="false">D4*Drivers!C27</f>
        <v>13380.7976544</v>
      </c>
      <c r="E17" s="7" t="n">
        <f aca="false">E4*Drivers!D27</f>
        <v>10922.46506208</v>
      </c>
      <c r="F17" s="7" t="n">
        <f aca="false">F4*Drivers!E27</f>
        <v>9914.237517888</v>
      </c>
    </row>
    <row r="18" customFormat="false" ht="15" hidden="false" customHeight="false" outlineLevel="0" collapsed="false">
      <c r="A18" s="5" t="s">
        <v>145</v>
      </c>
      <c r="B18" s="7" t="n">
        <f aca="false">Historicals!F20</f>
        <v>3339</v>
      </c>
      <c r="C18" s="7" t="n">
        <f aca="false">C4*Drivers!B28</f>
        <v>4980.7989</v>
      </c>
      <c r="D18" s="7" t="n">
        <f aca="false">D4*Drivers!C28</f>
        <v>4045.3574304</v>
      </c>
      <c r="E18" s="7" t="n">
        <f aca="false">E4*Drivers!D28</f>
        <v>3360.75848064</v>
      </c>
      <c r="F18" s="7" t="n">
        <f aca="false">F4*Drivers!E28</f>
        <v>3029.350352688</v>
      </c>
    </row>
    <row r="21" customFormat="false" ht="42" hidden="false" customHeight="true" outlineLevel="0" collapsed="false">
      <c r="A21" s="26" t="s">
        <v>171</v>
      </c>
      <c r="B21" s="24" t="s">
        <v>172</v>
      </c>
      <c r="C21" s="24"/>
      <c r="D21" s="24"/>
      <c r="E21" s="24"/>
      <c r="F21" s="24"/>
    </row>
  </sheetData>
  <mergeCells count="3">
    <mergeCell ref="A1:F1"/>
    <mergeCell ref="A2:F2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6"/>
  </cols>
  <sheetData>
    <row r="1" customFormat="false" ht="24" hidden="false" customHeight="true" outlineLevel="0" collapsed="false">
      <c r="A1" s="1" t="s">
        <v>173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174</v>
      </c>
      <c r="B2" s="2"/>
      <c r="C2" s="2"/>
      <c r="D2" s="2"/>
      <c r="E2" s="2"/>
    </row>
    <row r="3" customFormat="false" ht="15" hidden="false" customHeight="false" outlineLevel="0" collapsed="false">
      <c r="A3" s="9" t="s">
        <v>10</v>
      </c>
      <c r="B3" s="9" t="s">
        <v>175</v>
      </c>
      <c r="C3" s="9" t="s">
        <v>176</v>
      </c>
      <c r="D3" s="9" t="s">
        <v>177</v>
      </c>
      <c r="E3" s="9" t="s">
        <v>178</v>
      </c>
    </row>
    <row r="4" customFormat="false" ht="15" hidden="false" customHeight="false" outlineLevel="0" collapsed="false">
      <c r="A4" s="8" t="s">
        <v>27</v>
      </c>
      <c r="B4" s="8"/>
      <c r="C4" s="8"/>
      <c r="D4" s="8"/>
      <c r="E4" s="8"/>
    </row>
    <row r="5" customFormat="false" ht="15" hidden="false" customHeight="false" outlineLevel="0" collapsed="false">
      <c r="A5" s="5" t="s">
        <v>16</v>
      </c>
      <c r="B5" s="17" t="n">
        <v>6500</v>
      </c>
      <c r="C5" s="17" t="n">
        <v>5700</v>
      </c>
      <c r="D5" s="17" t="n">
        <v>5000</v>
      </c>
      <c r="E5" s="7" t="n">
        <f aca="false">Scenarios!B12-SUM(B5:D5)</f>
        <v>4396.96</v>
      </c>
    </row>
    <row r="6" customFormat="false" ht="15" hidden="false" customHeight="false" outlineLevel="0" collapsed="false">
      <c r="A6" s="5" t="s">
        <v>19</v>
      </c>
      <c r="B6" s="18" t="n">
        <v>0.68</v>
      </c>
      <c r="C6" s="18" t="n">
        <v>0.58</v>
      </c>
      <c r="D6" s="18" t="n">
        <v>0.48</v>
      </c>
      <c r="E6" s="18" t="n">
        <v>0.42</v>
      </c>
    </row>
    <row r="7" customFormat="false" ht="15" hidden="false" customHeight="false" outlineLevel="0" collapsed="false">
      <c r="A7" s="5" t="s">
        <v>134</v>
      </c>
      <c r="B7" s="20" t="n">
        <f aca="false">B5*B6</f>
        <v>4420</v>
      </c>
      <c r="C7" s="20" t="n">
        <f aca="false">C5*C6</f>
        <v>3306</v>
      </c>
      <c r="D7" s="20" t="n">
        <f aca="false">D5*D6</f>
        <v>2400</v>
      </c>
      <c r="E7" s="20" t="n">
        <f aca="false">E5*E6</f>
        <v>1846.7232</v>
      </c>
    </row>
    <row r="8" customFormat="false" ht="15" hidden="false" customHeight="false" outlineLevel="0" collapsed="false">
      <c r="A8" s="5" t="s">
        <v>135</v>
      </c>
      <c r="B8" s="7" t="n">
        <f aca="false">Drivers!B9/4</f>
        <v>575</v>
      </c>
      <c r="C8" s="7" t="n">
        <f aca="false">Drivers!B9/4</f>
        <v>575</v>
      </c>
      <c r="D8" s="7" t="n">
        <f aca="false">Drivers!B9/4</f>
        <v>575</v>
      </c>
      <c r="E8" s="7" t="n">
        <f aca="false">Drivers!B9/4</f>
        <v>575</v>
      </c>
    </row>
    <row r="9" customFormat="false" ht="15" hidden="false" customHeight="false" outlineLevel="0" collapsed="false">
      <c r="A9" s="5" t="s">
        <v>136</v>
      </c>
      <c r="B9" s="20" t="n">
        <f aca="false">B7-B8</f>
        <v>3845</v>
      </c>
      <c r="C9" s="20" t="n">
        <f aca="false">C7-C8</f>
        <v>2731</v>
      </c>
      <c r="D9" s="20" t="n">
        <f aca="false">D7-D8</f>
        <v>1825</v>
      </c>
      <c r="E9" s="20" t="n">
        <f aca="false">E7-E8</f>
        <v>1271.7232</v>
      </c>
    </row>
    <row r="10" customFormat="false" ht="15" hidden="false" customHeight="false" outlineLevel="0" collapsed="false">
      <c r="A10" s="5" t="s">
        <v>179</v>
      </c>
      <c r="B10" s="7" t="n">
        <f aca="false">Drivers!B10/4</f>
        <v>25</v>
      </c>
      <c r="C10" s="7" t="n">
        <f aca="false">Drivers!B10/4</f>
        <v>25</v>
      </c>
      <c r="D10" s="7" t="n">
        <f aca="false">Drivers!B10/4</f>
        <v>25</v>
      </c>
      <c r="E10" s="7" t="n">
        <f aca="false">Drivers!B10/4</f>
        <v>25</v>
      </c>
    </row>
    <row r="11" customFormat="false" ht="15" hidden="false" customHeight="false" outlineLevel="0" collapsed="false">
      <c r="A11" s="5" t="s">
        <v>138</v>
      </c>
      <c r="B11" s="20" t="n">
        <f aca="false">B9+B10</f>
        <v>3870</v>
      </c>
      <c r="C11" s="20" t="n">
        <f aca="false">C9+C10</f>
        <v>2756</v>
      </c>
      <c r="D11" s="20" t="n">
        <f aca="false">D9+D10</f>
        <v>1850</v>
      </c>
      <c r="E11" s="20" t="n">
        <f aca="false">E9+E10</f>
        <v>1296.7232</v>
      </c>
    </row>
    <row r="12" customFormat="false" ht="15" hidden="false" customHeight="false" outlineLevel="0" collapsed="false">
      <c r="A12" s="5" t="s">
        <v>139</v>
      </c>
      <c r="B12" s="7" t="n">
        <f aca="false">MAX(0,B11*Drivers!B11)</f>
        <v>580.5</v>
      </c>
      <c r="C12" s="7" t="n">
        <f aca="false">MAX(0,C11*Drivers!B11)</f>
        <v>413.4</v>
      </c>
      <c r="D12" s="7" t="n">
        <f aca="false">MAX(0,D11*Drivers!B11)</f>
        <v>277.5</v>
      </c>
      <c r="E12" s="7" t="n">
        <f aca="false">MAX(0,E11*Drivers!B11)</f>
        <v>194.50848</v>
      </c>
    </row>
    <row r="13" customFormat="false" ht="15" hidden="false" customHeight="false" outlineLevel="0" collapsed="false">
      <c r="A13" s="5" t="s">
        <v>17</v>
      </c>
      <c r="B13" s="20" t="n">
        <f aca="false">B11-B12</f>
        <v>3289.5</v>
      </c>
      <c r="C13" s="20" t="n">
        <f aca="false">C11-C12</f>
        <v>2342.6</v>
      </c>
      <c r="D13" s="20" t="n">
        <f aca="false">D11-D12</f>
        <v>1572.5</v>
      </c>
      <c r="E13" s="20" t="n">
        <f aca="false">E11-E12</f>
        <v>1102.21472</v>
      </c>
    </row>
    <row r="14" customFormat="false" ht="15" hidden="false" customHeight="false" outlineLevel="0" collapsed="false">
      <c r="A14" s="5" t="s">
        <v>18</v>
      </c>
      <c r="B14" s="10" t="n">
        <f aca="false">B13/Drivers!B12</f>
        <v>20.8196202531646</v>
      </c>
      <c r="C14" s="10" t="n">
        <f aca="false">C13/Drivers!B12</f>
        <v>14.826582278481</v>
      </c>
      <c r="D14" s="10" t="n">
        <f aca="false">D13/Drivers!B12</f>
        <v>9.95253164556962</v>
      </c>
      <c r="E14" s="10" t="n">
        <f aca="false">E13/Drivers!B12</f>
        <v>6.97604253164558</v>
      </c>
    </row>
    <row r="16" customFormat="false" ht="15" hidden="false" customHeight="false" outlineLevel="0" collapsed="false">
      <c r="A16" s="8" t="s">
        <v>28</v>
      </c>
      <c r="B16" s="8"/>
      <c r="C16" s="8"/>
      <c r="D16" s="8"/>
      <c r="E16" s="8"/>
    </row>
    <row r="17" customFormat="false" ht="15" hidden="false" customHeight="false" outlineLevel="0" collapsed="false">
      <c r="A17" s="5" t="s">
        <v>16</v>
      </c>
      <c r="B17" s="17" t="n">
        <v>8600</v>
      </c>
      <c r="C17" s="17" t="n">
        <v>8800</v>
      </c>
      <c r="D17" s="17" t="n">
        <v>8300</v>
      </c>
      <c r="E17" s="7" t="n">
        <f aca="false">Scenarios!B13-SUM(B17:D17)</f>
        <v>7505.326</v>
      </c>
    </row>
    <row r="18" customFormat="false" ht="15" hidden="false" customHeight="false" outlineLevel="0" collapsed="false">
      <c r="A18" s="5" t="s">
        <v>19</v>
      </c>
      <c r="B18" s="18" t="n">
        <v>0.8</v>
      </c>
      <c r="C18" s="18" t="n">
        <v>0.79</v>
      </c>
      <c r="D18" s="18" t="n">
        <v>0.72</v>
      </c>
      <c r="E18" s="18" t="n">
        <v>0.65</v>
      </c>
    </row>
    <row r="19" customFormat="false" ht="15" hidden="false" customHeight="false" outlineLevel="0" collapsed="false">
      <c r="A19" s="5" t="s">
        <v>134</v>
      </c>
      <c r="B19" s="20" t="n">
        <f aca="false">B17*B18</f>
        <v>6880</v>
      </c>
      <c r="C19" s="20" t="n">
        <f aca="false">C17*C18</f>
        <v>6952</v>
      </c>
      <c r="D19" s="20" t="n">
        <f aca="false">D17*D18</f>
        <v>5976</v>
      </c>
      <c r="E19" s="20" t="n">
        <f aca="false">E17*E18</f>
        <v>4878.4619</v>
      </c>
    </row>
    <row r="20" customFormat="false" ht="15" hidden="false" customHeight="false" outlineLevel="0" collapsed="false">
      <c r="A20" s="5" t="s">
        <v>135</v>
      </c>
      <c r="B20" s="7" t="n">
        <f aca="false">Drivers!B22/4</f>
        <v>612.5</v>
      </c>
      <c r="C20" s="7" t="n">
        <f aca="false">Drivers!B22/4</f>
        <v>612.5</v>
      </c>
      <c r="D20" s="7" t="n">
        <f aca="false">Drivers!B22/4</f>
        <v>612.5</v>
      </c>
      <c r="E20" s="7" t="n">
        <f aca="false">Drivers!B22/4</f>
        <v>612.5</v>
      </c>
    </row>
    <row r="21" customFormat="false" ht="15" hidden="false" customHeight="false" outlineLevel="0" collapsed="false">
      <c r="A21" s="5" t="s">
        <v>136</v>
      </c>
      <c r="B21" s="20" t="n">
        <f aca="false">B19-B20</f>
        <v>6267.5</v>
      </c>
      <c r="C21" s="20" t="n">
        <f aca="false">C19-C20</f>
        <v>6339.5</v>
      </c>
      <c r="D21" s="20" t="n">
        <f aca="false">D19-D20</f>
        <v>5363.5</v>
      </c>
      <c r="E21" s="20" t="n">
        <f aca="false">E19-E20</f>
        <v>4265.9619</v>
      </c>
    </row>
    <row r="22" customFormat="false" ht="15" hidden="false" customHeight="false" outlineLevel="0" collapsed="false">
      <c r="A22" s="5" t="s">
        <v>179</v>
      </c>
      <c r="B22" s="7" t="n">
        <f aca="false">Drivers!B23/4</f>
        <v>50</v>
      </c>
      <c r="C22" s="7" t="n">
        <f aca="false">Drivers!B23/4</f>
        <v>50</v>
      </c>
      <c r="D22" s="7" t="n">
        <f aca="false">Drivers!B23/4</f>
        <v>50</v>
      </c>
      <c r="E22" s="7" t="n">
        <f aca="false">Drivers!B23/4</f>
        <v>50</v>
      </c>
    </row>
    <row r="23" customFormat="false" ht="15" hidden="false" customHeight="false" outlineLevel="0" collapsed="false">
      <c r="A23" s="5" t="s">
        <v>138</v>
      </c>
      <c r="B23" s="20" t="n">
        <f aca="false">B21+B22</f>
        <v>6317.5</v>
      </c>
      <c r="C23" s="20" t="n">
        <f aca="false">C21+C22</f>
        <v>6389.5</v>
      </c>
      <c r="D23" s="20" t="n">
        <f aca="false">D21+D22</f>
        <v>5413.5</v>
      </c>
      <c r="E23" s="20" t="n">
        <f aca="false">E21+E22</f>
        <v>4315.9619</v>
      </c>
    </row>
    <row r="24" customFormat="false" ht="15" hidden="false" customHeight="false" outlineLevel="0" collapsed="false">
      <c r="A24" s="5" t="s">
        <v>139</v>
      </c>
      <c r="B24" s="7" t="n">
        <f aca="false">MAX(0,B23*Drivers!B24)</f>
        <v>947.625</v>
      </c>
      <c r="C24" s="7" t="n">
        <f aca="false">MAX(0,C23*Drivers!B24)</f>
        <v>958.425</v>
      </c>
      <c r="D24" s="7" t="n">
        <f aca="false">MAX(0,D23*Drivers!B24)</f>
        <v>812.025</v>
      </c>
      <c r="E24" s="7" t="n">
        <f aca="false">MAX(0,E23*Drivers!B24)</f>
        <v>647.394285</v>
      </c>
    </row>
    <row r="25" customFormat="false" ht="15" hidden="false" customHeight="false" outlineLevel="0" collapsed="false">
      <c r="A25" s="5" t="s">
        <v>17</v>
      </c>
      <c r="B25" s="20" t="n">
        <f aca="false">B23-B24</f>
        <v>5369.875</v>
      </c>
      <c r="C25" s="20" t="n">
        <f aca="false">C23-C24</f>
        <v>5431.075</v>
      </c>
      <c r="D25" s="20" t="n">
        <f aca="false">D23-D24</f>
        <v>4601.475</v>
      </c>
      <c r="E25" s="20" t="n">
        <f aca="false">E23-E24</f>
        <v>3668.567615</v>
      </c>
    </row>
    <row r="26" customFormat="false" ht="15" hidden="false" customHeight="false" outlineLevel="0" collapsed="false">
      <c r="A26" s="5" t="s">
        <v>18</v>
      </c>
      <c r="B26" s="10" t="n">
        <f aca="false">B25/Drivers!B25</f>
        <v>34.8693181818182</v>
      </c>
      <c r="C26" s="10" t="n">
        <f aca="false">C25/Drivers!B25</f>
        <v>35.2667207792208</v>
      </c>
      <c r="D26" s="10" t="n">
        <f aca="false">D25/Drivers!B25</f>
        <v>29.8797077922078</v>
      </c>
      <c r="E26" s="10" t="n">
        <f aca="false">E25/Drivers!B25</f>
        <v>23.8218676298701</v>
      </c>
    </row>
    <row r="28" customFormat="false" ht="15" hidden="false" customHeight="false" outlineLevel="0" collapsed="false">
      <c r="A28" s="8" t="s">
        <v>29</v>
      </c>
      <c r="B28" s="8"/>
      <c r="C28" s="8"/>
      <c r="D28" s="8"/>
      <c r="E28" s="8"/>
    </row>
    <row r="29" customFormat="false" ht="15" hidden="false" customHeight="false" outlineLevel="0" collapsed="false">
      <c r="A29" s="5" t="s">
        <v>16</v>
      </c>
      <c r="B29" s="17" t="n">
        <v>9500</v>
      </c>
      <c r="C29" s="17" t="n">
        <v>10200</v>
      </c>
      <c r="D29" s="17" t="n">
        <v>11000</v>
      </c>
      <c r="E29" s="7" t="n">
        <f aca="false">Scenarios!B14-SUM(B29:D29)</f>
        <v>12043.9833333333</v>
      </c>
    </row>
    <row r="30" customFormat="false" ht="15" hidden="false" customHeight="false" outlineLevel="0" collapsed="false">
      <c r="A30" s="5" t="s">
        <v>19</v>
      </c>
      <c r="B30" s="18" t="n">
        <v>0.82</v>
      </c>
      <c r="C30" s="18" t="n">
        <v>0.82</v>
      </c>
      <c r="D30" s="18" t="n">
        <v>0.81</v>
      </c>
      <c r="E30" s="18" t="n">
        <v>0.8</v>
      </c>
    </row>
    <row r="31" customFormat="false" ht="15" hidden="false" customHeight="false" outlineLevel="0" collapsed="false">
      <c r="A31" s="5" t="s">
        <v>134</v>
      </c>
      <c r="B31" s="20" t="n">
        <f aca="false">B29*B30</f>
        <v>7790</v>
      </c>
      <c r="C31" s="20" t="n">
        <f aca="false">C29*C30</f>
        <v>8364</v>
      </c>
      <c r="D31" s="20" t="n">
        <f aca="false">D29*D30</f>
        <v>8910</v>
      </c>
      <c r="E31" s="20" t="n">
        <f aca="false">E29*E30</f>
        <v>9635.18666666667</v>
      </c>
    </row>
    <row r="32" customFormat="false" ht="15" hidden="false" customHeight="false" outlineLevel="0" collapsed="false">
      <c r="A32" s="5" t="s">
        <v>135</v>
      </c>
      <c r="B32" s="7" t="n">
        <f aca="false">Drivers!B35/4</f>
        <v>650</v>
      </c>
      <c r="C32" s="7" t="n">
        <f aca="false">Drivers!B35/4</f>
        <v>650</v>
      </c>
      <c r="D32" s="7" t="n">
        <f aca="false">Drivers!B35/4</f>
        <v>650</v>
      </c>
      <c r="E32" s="7" t="n">
        <f aca="false">Drivers!B35/4</f>
        <v>650</v>
      </c>
    </row>
    <row r="33" customFormat="false" ht="15" hidden="false" customHeight="false" outlineLevel="0" collapsed="false">
      <c r="A33" s="5" t="s">
        <v>136</v>
      </c>
      <c r="B33" s="20" t="n">
        <f aca="false">B31-B32</f>
        <v>7140</v>
      </c>
      <c r="C33" s="20" t="n">
        <f aca="false">C31-C32</f>
        <v>7714</v>
      </c>
      <c r="D33" s="20" t="n">
        <f aca="false">D31-D32</f>
        <v>8260</v>
      </c>
      <c r="E33" s="20" t="n">
        <f aca="false">E31-E32</f>
        <v>8985.18666666667</v>
      </c>
    </row>
    <row r="34" customFormat="false" ht="15" hidden="false" customHeight="false" outlineLevel="0" collapsed="false">
      <c r="A34" s="5" t="s">
        <v>179</v>
      </c>
      <c r="B34" s="7" t="n">
        <f aca="false">Drivers!B36/4</f>
        <v>50</v>
      </c>
      <c r="C34" s="7" t="n">
        <f aca="false">Drivers!B36/4</f>
        <v>50</v>
      </c>
      <c r="D34" s="7" t="n">
        <f aca="false">Drivers!B36/4</f>
        <v>50</v>
      </c>
      <c r="E34" s="7" t="n">
        <f aca="false">Drivers!B36/4</f>
        <v>50</v>
      </c>
    </row>
    <row r="35" customFormat="false" ht="15" hidden="false" customHeight="false" outlineLevel="0" collapsed="false">
      <c r="A35" s="5" t="s">
        <v>138</v>
      </c>
      <c r="B35" s="20" t="n">
        <f aca="false">B33+B34</f>
        <v>7190</v>
      </c>
      <c r="C35" s="20" t="n">
        <f aca="false">C33+C34</f>
        <v>7764</v>
      </c>
      <c r="D35" s="20" t="n">
        <f aca="false">D33+D34</f>
        <v>8310</v>
      </c>
      <c r="E35" s="20" t="n">
        <f aca="false">E33+E34</f>
        <v>9035.18666666667</v>
      </c>
    </row>
    <row r="36" customFormat="false" ht="15" hidden="false" customHeight="false" outlineLevel="0" collapsed="false">
      <c r="A36" s="5" t="s">
        <v>139</v>
      </c>
      <c r="B36" s="7" t="n">
        <f aca="false">MAX(0,B35*Drivers!B37)</f>
        <v>1078.5</v>
      </c>
      <c r="C36" s="7" t="n">
        <f aca="false">MAX(0,C35*Drivers!B37)</f>
        <v>1164.6</v>
      </c>
      <c r="D36" s="7" t="n">
        <f aca="false">MAX(0,D35*Drivers!B37)</f>
        <v>1246.5</v>
      </c>
      <c r="E36" s="7" t="n">
        <f aca="false">MAX(0,E35*Drivers!B37)</f>
        <v>1355.278</v>
      </c>
    </row>
    <row r="37" customFormat="false" ht="15" hidden="false" customHeight="false" outlineLevel="0" collapsed="false">
      <c r="A37" s="5" t="s">
        <v>17</v>
      </c>
      <c r="B37" s="20" t="n">
        <f aca="false">B35-B36</f>
        <v>6111.5</v>
      </c>
      <c r="C37" s="20" t="n">
        <f aca="false">C35-C36</f>
        <v>6599.4</v>
      </c>
      <c r="D37" s="20" t="n">
        <f aca="false">D35-D36</f>
        <v>7063.5</v>
      </c>
      <c r="E37" s="20" t="n">
        <f aca="false">E35-E36</f>
        <v>7679.90866666667</v>
      </c>
    </row>
    <row r="38" customFormat="false" ht="15" hidden="false" customHeight="false" outlineLevel="0" collapsed="false">
      <c r="A38" s="5" t="s">
        <v>18</v>
      </c>
      <c r="B38" s="10" t="n">
        <f aca="false">B37/Drivers!B38</f>
        <v>39.9444444444444</v>
      </c>
      <c r="C38" s="10" t="n">
        <f aca="false">C37/Drivers!B38</f>
        <v>43.1333333333333</v>
      </c>
      <c r="D38" s="10" t="n">
        <f aca="false">D37/Drivers!B38</f>
        <v>46.1666666666667</v>
      </c>
      <c r="E38" s="10" t="n">
        <f aca="false">E37/Drivers!B38</f>
        <v>50.1954814814815</v>
      </c>
    </row>
  </sheetData>
  <mergeCells count="5">
    <mergeCell ref="A1:E1"/>
    <mergeCell ref="A2:E2"/>
    <mergeCell ref="A4:E4"/>
    <mergeCell ref="A16:E16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8" min="4" style="0" width="18"/>
    <col collapsed="false" customWidth="true" hidden="false" outlineLevel="0" max="9" min="9" style="0" width="20"/>
  </cols>
  <sheetData>
    <row r="1" customFormat="false" ht="24" hidden="false" customHeight="true" outlineLevel="0" collapsed="false">
      <c r="A1" s="1" t="s">
        <v>180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181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9" t="s">
        <v>10</v>
      </c>
      <c r="B3" s="9" t="s">
        <v>45</v>
      </c>
      <c r="C3" s="9" t="s">
        <v>46</v>
      </c>
      <c r="D3" s="9" t="s">
        <v>182</v>
      </c>
    </row>
    <row r="4" customFormat="false" ht="15" hidden="false" customHeight="false" outlineLevel="0" collapsed="false">
      <c r="A4" s="5" t="s">
        <v>6</v>
      </c>
      <c r="B4" s="6" t="n">
        <f aca="false">Assumptions!B4</f>
        <v>1470.63</v>
      </c>
      <c r="C4" s="5" t="s">
        <v>50</v>
      </c>
      <c r="D4" s="5" t="s">
        <v>183</v>
      </c>
    </row>
    <row r="5" customFormat="false" ht="15" hidden="false" customHeight="false" outlineLevel="0" collapsed="false">
      <c r="A5" s="5" t="s">
        <v>54</v>
      </c>
      <c r="B5" s="7" t="n">
        <f aca="false">Assumptions!B5</f>
        <v>148.089758</v>
      </c>
      <c r="C5" s="5" t="s">
        <v>55</v>
      </c>
      <c r="D5" s="5" t="s">
        <v>184</v>
      </c>
    </row>
    <row r="6" customFormat="false" ht="15" hidden="false" customHeight="false" outlineLevel="0" collapsed="false">
      <c r="A6" s="5" t="s">
        <v>7</v>
      </c>
      <c r="B6" s="20" t="n">
        <f aca="false">B4*B5</f>
        <v>217785.24080754</v>
      </c>
      <c r="C6" s="5" t="s">
        <v>60</v>
      </c>
      <c r="D6" s="5" t="s">
        <v>185</v>
      </c>
    </row>
    <row r="7" customFormat="false" ht="15" hidden="false" customHeight="false" outlineLevel="0" collapsed="false">
      <c r="A7" s="5" t="s">
        <v>59</v>
      </c>
      <c r="B7" s="7" t="n">
        <f aca="false">Assumptions!B6</f>
        <v>3735</v>
      </c>
      <c r="C7" s="5" t="s">
        <v>60</v>
      </c>
      <c r="D7" s="5" t="s">
        <v>186</v>
      </c>
    </row>
    <row r="8" customFormat="false" ht="15" hidden="false" customHeight="false" outlineLevel="0" collapsed="false">
      <c r="A8" s="5" t="s">
        <v>63</v>
      </c>
      <c r="B8" s="7" t="n">
        <f aca="false">Assumptions!B7</f>
        <v>0</v>
      </c>
      <c r="C8" s="5" t="s">
        <v>60</v>
      </c>
      <c r="D8" s="5" t="s">
        <v>187</v>
      </c>
    </row>
    <row r="9" customFormat="false" ht="15" hidden="false" customHeight="false" outlineLevel="0" collapsed="false">
      <c r="A9" s="5" t="s">
        <v>8</v>
      </c>
      <c r="B9" s="20" t="n">
        <f aca="false">B6+B8-B7</f>
        <v>214050.24080754</v>
      </c>
      <c r="C9" s="5" t="s">
        <v>60</v>
      </c>
      <c r="D9" s="5" t="s">
        <v>188</v>
      </c>
    </row>
    <row r="10" customFormat="false" ht="15" hidden="false" customHeight="false" outlineLevel="0" collapsed="false">
      <c r="A10" s="5" t="s">
        <v>189</v>
      </c>
      <c r="B10" s="7" t="n">
        <f aca="false">B9+Assumptions!B8</f>
        <v>215022.24080754</v>
      </c>
      <c r="C10" s="5" t="s">
        <v>60</v>
      </c>
      <c r="D10" s="5" t="s">
        <v>190</v>
      </c>
    </row>
    <row r="11" customFormat="false" ht="15" hidden="false" customHeight="false" outlineLevel="0" collapsed="false">
      <c r="A11" s="5" t="s">
        <v>191</v>
      </c>
      <c r="B11" s="7" t="n">
        <f aca="false">Forecast!B4</f>
        <v>19283</v>
      </c>
      <c r="C11" s="5" t="s">
        <v>60</v>
      </c>
      <c r="D11" s="5" t="s">
        <v>192</v>
      </c>
    </row>
    <row r="12" customFormat="false" ht="15" hidden="false" customHeight="false" outlineLevel="0" collapsed="false">
      <c r="A12" s="5" t="s">
        <v>193</v>
      </c>
      <c r="B12" s="7" t="n">
        <f aca="false">Forecast!B12</f>
        <v>9462.5655</v>
      </c>
      <c r="C12" s="5" t="s">
        <v>60</v>
      </c>
      <c r="D12" s="5" t="s">
        <v>194</v>
      </c>
    </row>
    <row r="13" customFormat="false" ht="15" hidden="false" customHeight="false" outlineLevel="0" collapsed="false">
      <c r="A13" s="5" t="s">
        <v>195</v>
      </c>
      <c r="B13" s="10" t="n">
        <f aca="false">Forecast!B14</f>
        <v>60.6574711538462</v>
      </c>
      <c r="C13" s="5" t="s">
        <v>50</v>
      </c>
      <c r="D13" s="5" t="s">
        <v>194</v>
      </c>
    </row>
    <row r="14" customFormat="false" ht="15" hidden="false" customHeight="false" outlineLevel="0" collapsed="false">
      <c r="A14" s="5" t="s">
        <v>196</v>
      </c>
      <c r="B14" s="10" t="n">
        <f aca="false">Assumptions!B24</f>
        <v>62.82</v>
      </c>
      <c r="C14" s="5" t="s">
        <v>50</v>
      </c>
      <c r="D14" s="5" t="s">
        <v>192</v>
      </c>
    </row>
    <row r="15" customFormat="false" ht="15" hidden="false" customHeight="false" outlineLevel="0" collapsed="false">
      <c r="A15" s="5" t="s">
        <v>197</v>
      </c>
      <c r="B15" s="7" t="n">
        <f aca="false">Forecast!B15</f>
        <v>11353.5</v>
      </c>
      <c r="C15" s="5" t="s">
        <v>60</v>
      </c>
      <c r="D15" s="5" t="s">
        <v>198</v>
      </c>
    </row>
    <row r="16" customFormat="false" ht="15" hidden="false" customHeight="false" outlineLevel="0" collapsed="false">
      <c r="A16" s="5" t="s">
        <v>199</v>
      </c>
      <c r="B16" s="28" t="n">
        <f aca="false">B4/B13</f>
        <v>24.2448287412119</v>
      </c>
      <c r="C16" s="5" t="s">
        <v>122</v>
      </c>
      <c r="D16" s="5" t="s">
        <v>200</v>
      </c>
    </row>
    <row r="17" customFormat="false" ht="15" hidden="false" customHeight="false" outlineLevel="0" collapsed="false">
      <c r="A17" s="5" t="s">
        <v>201</v>
      </c>
      <c r="B17" s="28" t="n">
        <f aca="false">B4/B14</f>
        <v>23.4102196752627</v>
      </c>
      <c r="C17" s="5" t="s">
        <v>122</v>
      </c>
      <c r="D17" s="5" t="s">
        <v>202</v>
      </c>
    </row>
    <row r="18" customFormat="false" ht="15" hidden="false" customHeight="false" outlineLevel="0" collapsed="false">
      <c r="A18" s="5" t="s">
        <v>203</v>
      </c>
      <c r="B18" s="28" t="n">
        <f aca="false">B9/B11</f>
        <v>11.1004636626842</v>
      </c>
      <c r="C18" s="5" t="s">
        <v>122</v>
      </c>
      <c r="D18" s="5" t="s">
        <v>204</v>
      </c>
    </row>
    <row r="19" customFormat="false" ht="15" hidden="false" customHeight="false" outlineLevel="0" collapsed="false">
      <c r="A19" s="5" t="s">
        <v>205</v>
      </c>
      <c r="B19" s="28" t="n">
        <f aca="false">B9/B15</f>
        <v>18.8532382796089</v>
      </c>
      <c r="C19" s="5" t="s">
        <v>122</v>
      </c>
      <c r="D19" s="5" t="s">
        <v>206</v>
      </c>
    </row>
    <row r="22" customFormat="false" ht="15" hidden="false" customHeight="false" outlineLevel="0" collapsed="false">
      <c r="A22" s="8" t="s">
        <v>207</v>
      </c>
      <c r="B22" s="8"/>
      <c r="C22" s="8"/>
      <c r="D22" s="8"/>
      <c r="E22" s="8"/>
      <c r="F22" s="8"/>
      <c r="G22" s="8"/>
      <c r="H22" s="8"/>
      <c r="I22" s="8"/>
    </row>
    <row r="23" customFormat="false" ht="26.85" hidden="false" customHeight="false" outlineLevel="0" collapsed="false">
      <c r="A23" s="9" t="s">
        <v>21</v>
      </c>
      <c r="B23" s="9" t="s">
        <v>22</v>
      </c>
      <c r="C23" s="9" t="s">
        <v>23</v>
      </c>
      <c r="D23" s="9" t="s">
        <v>121</v>
      </c>
      <c r="E23" s="9" t="s">
        <v>24</v>
      </c>
      <c r="F23" s="9" t="s">
        <v>124</v>
      </c>
      <c r="G23" s="9" t="s">
        <v>208</v>
      </c>
      <c r="H23" s="9" t="s">
        <v>25</v>
      </c>
      <c r="I23" s="9" t="s">
        <v>30</v>
      </c>
    </row>
    <row r="24" customFormat="false" ht="15" hidden="false" customHeight="false" outlineLevel="0" collapsed="false">
      <c r="A24" s="5" t="s">
        <v>27</v>
      </c>
      <c r="B24" s="11" t="n">
        <f aca="false">Scenarios!B5</f>
        <v>0.3</v>
      </c>
      <c r="C24" s="6" t="n">
        <f aca="false">Scenarios!B24</f>
        <v>52.0669544303798</v>
      </c>
      <c r="D24" s="29" t="n">
        <f aca="false">Assumptions!B30</f>
        <v>8</v>
      </c>
      <c r="E24" s="6" t="n">
        <f aca="false">AVERAGE(Scenarios!D24:E24)</f>
        <v>6.77509907319964</v>
      </c>
      <c r="F24" s="29" t="n">
        <f aca="false">Assumptions!B31</f>
        <v>10</v>
      </c>
      <c r="G24" s="6" t="n">
        <f aca="false">Assumptions!B32</f>
        <v>10</v>
      </c>
      <c r="H24" s="6" t="n">
        <f aca="false">C24*D24*Assumptions!$B$22+E24*F24*Assumptions!$B$23+G24</f>
        <v>217.264848616413</v>
      </c>
      <c r="I24" s="30" t="n">
        <f aca="false">B24*H24</f>
        <v>65.1794545849239</v>
      </c>
    </row>
    <row r="25" customFormat="false" ht="15" hidden="false" customHeight="false" outlineLevel="0" collapsed="false">
      <c r="A25" s="5" t="s">
        <v>28</v>
      </c>
      <c r="B25" s="11" t="n">
        <f aca="false">Scenarios!B6</f>
        <v>0.5</v>
      </c>
      <c r="C25" s="6" t="n">
        <f aca="false">Scenarios!B25</f>
        <v>123.205519831169</v>
      </c>
      <c r="D25" s="29" t="n">
        <f aca="false">Assumptions!C30</f>
        <v>10</v>
      </c>
      <c r="E25" s="6" t="n">
        <f aca="false">AVERAGE(Scenarios!D25:E25)</f>
        <v>53.318624487001</v>
      </c>
      <c r="F25" s="29" t="n">
        <f aca="false">Assumptions!C31</f>
        <v>16</v>
      </c>
      <c r="G25" s="6" t="n">
        <f aca="false">Assumptions!C32</f>
        <v>50</v>
      </c>
      <c r="H25" s="6" t="n">
        <f aca="false">C25*D25*Assumptions!$B$22+E25*F25*Assumptions!$B$23+G25</f>
        <v>1054.68087439989</v>
      </c>
      <c r="I25" s="30" t="n">
        <f aca="false">B25*H25</f>
        <v>527.340437199943</v>
      </c>
    </row>
    <row r="26" customFormat="false" ht="15" hidden="false" customHeight="false" outlineLevel="0" collapsed="false">
      <c r="A26" s="5" t="s">
        <v>29</v>
      </c>
      <c r="B26" s="11" t="n">
        <f aca="false">Scenarios!B7</f>
        <v>0.2</v>
      </c>
      <c r="C26" s="6" t="n">
        <f aca="false">Scenarios!B26</f>
        <v>176.639925925926</v>
      </c>
      <c r="D26" s="29" t="n">
        <f aca="false">Assumptions!D30</f>
        <v>14</v>
      </c>
      <c r="E26" s="6" t="n">
        <f aca="false">AVERAGE(Scenarios!D26:E26)</f>
        <v>206.771152960438</v>
      </c>
      <c r="F26" s="29" t="n">
        <f aca="false">Assumptions!D31</f>
        <v>18</v>
      </c>
      <c r="G26" s="6" t="n">
        <f aca="false">Assumptions!D32</f>
        <v>100</v>
      </c>
      <c r="H26" s="6" t="n">
        <f aca="false">C26*D26*Assumptions!$B$22+E26*F26*Assumptions!$B$23+G26</f>
        <v>3322.31203715791</v>
      </c>
      <c r="I26" s="30" t="n">
        <f aca="false">B26*H26</f>
        <v>664.462407431583</v>
      </c>
    </row>
    <row r="27" customFormat="false" ht="15" hidden="false" customHeight="false" outlineLevel="0" collapsed="false">
      <c r="A27" s="13" t="s">
        <v>209</v>
      </c>
      <c r="I27" s="31" t="n">
        <f aca="false">SUM(I24:I26)</f>
        <v>1256.98229921645</v>
      </c>
    </row>
    <row r="28" customFormat="false" ht="15" hidden="false" customHeight="false" outlineLevel="0" collapsed="false">
      <c r="A28" s="5" t="s">
        <v>210</v>
      </c>
      <c r="I28" s="12" t="n">
        <f aca="false">I27/B4-1</f>
        <v>-0.145276310685591</v>
      </c>
    </row>
    <row r="31" customFormat="false" ht="15" hidden="false" customHeight="false" outlineLevel="0" collapsed="false">
      <c r="A31" s="8" t="s">
        <v>211</v>
      </c>
      <c r="B31" s="8"/>
      <c r="C31" s="8"/>
      <c r="D31" s="8"/>
      <c r="E31" s="8"/>
      <c r="F31" s="8"/>
    </row>
    <row r="32" customFormat="false" ht="26.85" hidden="false" customHeight="false" outlineLevel="0" collapsed="false">
      <c r="A32" s="9" t="s">
        <v>124</v>
      </c>
      <c r="B32" s="9" t="s">
        <v>212</v>
      </c>
      <c r="C32" s="9" t="s">
        <v>213</v>
      </c>
      <c r="D32" s="9" t="s">
        <v>214</v>
      </c>
      <c r="E32" s="9" t="s">
        <v>215</v>
      </c>
      <c r="F32" s="9" t="s">
        <v>216</v>
      </c>
    </row>
    <row r="33" customFormat="false" ht="15" hidden="false" customHeight="false" outlineLevel="0" collapsed="false">
      <c r="A33" s="19" t="n">
        <v>12</v>
      </c>
      <c r="B33" s="22" t="n">
        <f aca="false">$B$4/A33</f>
        <v>122.5525</v>
      </c>
      <c r="C33" s="7" t="n">
        <f aca="false">B33*Assumptions!$B$25</f>
        <v>19363.295</v>
      </c>
      <c r="D33" s="20" t="n">
        <f aca="false">C33/30%</f>
        <v>64544.3166666667</v>
      </c>
      <c r="E33" s="20" t="n">
        <f aca="false">C33/35%</f>
        <v>55323.7</v>
      </c>
      <c r="F33" s="20" t="n">
        <f aca="false">C33/40%</f>
        <v>48408.2375</v>
      </c>
    </row>
    <row r="34" customFormat="false" ht="15" hidden="false" customHeight="false" outlineLevel="0" collapsed="false">
      <c r="A34" s="19" t="n">
        <v>14</v>
      </c>
      <c r="B34" s="22" t="n">
        <f aca="false">$B$4/A34</f>
        <v>105.045</v>
      </c>
      <c r="C34" s="7" t="n">
        <f aca="false">B34*Assumptions!$B$25</f>
        <v>16597.11</v>
      </c>
      <c r="D34" s="20" t="n">
        <f aca="false">C34/30%</f>
        <v>55323.7</v>
      </c>
      <c r="E34" s="20" t="n">
        <f aca="false">C34/35%</f>
        <v>47420.3142857143</v>
      </c>
      <c r="F34" s="20" t="n">
        <f aca="false">C34/40%</f>
        <v>41492.775</v>
      </c>
    </row>
    <row r="35" customFormat="false" ht="15" hidden="false" customHeight="false" outlineLevel="0" collapsed="false">
      <c r="A35" s="19" t="n">
        <v>16</v>
      </c>
      <c r="B35" s="22" t="n">
        <f aca="false">$B$4/A35</f>
        <v>91.914375</v>
      </c>
      <c r="C35" s="7" t="n">
        <f aca="false">B35*Assumptions!$B$25</f>
        <v>14522.47125</v>
      </c>
      <c r="D35" s="20" t="n">
        <f aca="false">C35/30%</f>
        <v>48408.2375</v>
      </c>
      <c r="E35" s="20" t="n">
        <f aca="false">C35/35%</f>
        <v>41492.775</v>
      </c>
      <c r="F35" s="20" t="n">
        <f aca="false">C35/40%</f>
        <v>36306.178125</v>
      </c>
    </row>
    <row r="37" customFormat="false" ht="42" hidden="false" customHeight="true" outlineLevel="0" collapsed="false">
      <c r="A37" s="26" t="s">
        <v>164</v>
      </c>
      <c r="B37" s="24" t="s">
        <v>217</v>
      </c>
      <c r="C37" s="24"/>
      <c r="D37" s="24"/>
      <c r="E37" s="24"/>
      <c r="F37" s="24"/>
      <c r="G37" s="24"/>
      <c r="H37" s="24"/>
      <c r="I37" s="24"/>
    </row>
  </sheetData>
  <mergeCells count="5">
    <mergeCell ref="A1:I1"/>
    <mergeCell ref="A2:I2"/>
    <mergeCell ref="A22:I22"/>
    <mergeCell ref="A31:F31"/>
    <mergeCell ref="B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4478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54"/>
    <col collapsed="false" customWidth="true" hidden="false" outlineLevel="0" max="8" min="8" style="0" width="45"/>
  </cols>
  <sheetData>
    <row r="1" customFormat="false" ht="24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219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9" t="s">
        <v>220</v>
      </c>
      <c r="B3" s="9" t="s">
        <v>221</v>
      </c>
      <c r="C3" s="9" t="s">
        <v>222</v>
      </c>
      <c r="D3" s="9" t="s">
        <v>223</v>
      </c>
      <c r="E3" s="9" t="s">
        <v>224</v>
      </c>
      <c r="F3" s="9" t="s">
        <v>225</v>
      </c>
      <c r="G3" s="9" t="s">
        <v>226</v>
      </c>
      <c r="H3" s="9" t="s">
        <v>227</v>
      </c>
    </row>
    <row r="4" customFormat="false" ht="33.75" hidden="false" customHeight="true" outlineLevel="0" collapsed="false">
      <c r="A4" s="5" t="s">
        <v>228</v>
      </c>
      <c r="B4" s="5" t="s">
        <v>229</v>
      </c>
      <c r="C4" s="5" t="s">
        <v>230</v>
      </c>
      <c r="D4" s="5" t="s">
        <v>231</v>
      </c>
      <c r="E4" s="5" t="s">
        <v>232</v>
      </c>
      <c r="F4" s="32" t="s">
        <v>233</v>
      </c>
      <c r="G4" s="33" t="s">
        <v>234</v>
      </c>
      <c r="H4" s="32" t="s">
        <v>235</v>
      </c>
    </row>
    <row r="5" customFormat="false" ht="33.75" hidden="false" customHeight="true" outlineLevel="0" collapsed="false">
      <c r="A5" s="5" t="s">
        <v>236</v>
      </c>
      <c r="B5" s="5" t="s">
        <v>229</v>
      </c>
      <c r="C5" s="5" t="s">
        <v>230</v>
      </c>
      <c r="D5" s="5" t="s">
        <v>231</v>
      </c>
      <c r="E5" s="5" t="s">
        <v>232</v>
      </c>
      <c r="F5" s="32" t="s">
        <v>233</v>
      </c>
      <c r="G5" s="33" t="s">
        <v>234</v>
      </c>
      <c r="H5" s="32" t="s">
        <v>235</v>
      </c>
    </row>
    <row r="6" customFormat="false" ht="33.75" hidden="false" customHeight="true" outlineLevel="0" collapsed="false">
      <c r="A6" s="5" t="s">
        <v>237</v>
      </c>
      <c r="B6" s="5" t="s">
        <v>229</v>
      </c>
      <c r="C6" s="5" t="s">
        <v>230</v>
      </c>
      <c r="D6" s="5" t="s">
        <v>231</v>
      </c>
      <c r="E6" s="5" t="s">
        <v>232</v>
      </c>
      <c r="F6" s="32" t="s">
        <v>233</v>
      </c>
      <c r="G6" s="33" t="s">
        <v>234</v>
      </c>
      <c r="H6" s="32" t="s">
        <v>238</v>
      </c>
    </row>
    <row r="7" customFormat="false" ht="33.75" hidden="false" customHeight="true" outlineLevel="0" collapsed="false">
      <c r="A7" s="5" t="s">
        <v>239</v>
      </c>
      <c r="B7" s="5" t="s">
        <v>229</v>
      </c>
      <c r="C7" s="5" t="s">
        <v>230</v>
      </c>
      <c r="D7" s="5" t="s">
        <v>231</v>
      </c>
      <c r="E7" s="5" t="s">
        <v>232</v>
      </c>
      <c r="F7" s="32" t="s">
        <v>240</v>
      </c>
      <c r="G7" s="33" t="s">
        <v>234</v>
      </c>
      <c r="H7" s="32" t="s">
        <v>241</v>
      </c>
    </row>
    <row r="8" customFormat="false" ht="33.75" hidden="false" customHeight="true" outlineLevel="0" collapsed="false">
      <c r="A8" s="5" t="s">
        <v>242</v>
      </c>
      <c r="B8" s="5" t="s">
        <v>229</v>
      </c>
      <c r="C8" s="5" t="s">
        <v>230</v>
      </c>
      <c r="D8" s="5" t="s">
        <v>231</v>
      </c>
      <c r="E8" s="5" t="s">
        <v>232</v>
      </c>
      <c r="F8" s="32" t="s">
        <v>243</v>
      </c>
      <c r="G8" s="33" t="s">
        <v>234</v>
      </c>
      <c r="H8" s="32" t="s">
        <v>244</v>
      </c>
    </row>
    <row r="9" customFormat="false" ht="33.75" hidden="false" customHeight="true" outlineLevel="0" collapsed="false">
      <c r="A9" s="5" t="s">
        <v>245</v>
      </c>
      <c r="B9" s="5" t="s">
        <v>229</v>
      </c>
      <c r="C9" s="5" t="s">
        <v>246</v>
      </c>
      <c r="D9" s="5" t="s">
        <v>247</v>
      </c>
      <c r="E9" s="5" t="s">
        <v>248</v>
      </c>
      <c r="F9" s="32" t="s">
        <v>249</v>
      </c>
      <c r="G9" s="33" t="s">
        <v>250</v>
      </c>
      <c r="H9" s="32" t="s">
        <v>251</v>
      </c>
    </row>
    <row r="10" customFormat="false" ht="33.75" hidden="false" customHeight="true" outlineLevel="0" collapsed="false">
      <c r="A10" s="5" t="s">
        <v>252</v>
      </c>
      <c r="B10" s="5" t="s">
        <v>229</v>
      </c>
      <c r="C10" s="5" t="s">
        <v>253</v>
      </c>
      <c r="D10" s="5" t="s">
        <v>254</v>
      </c>
      <c r="E10" s="5" t="s">
        <v>248</v>
      </c>
      <c r="F10" s="32" t="s">
        <v>255</v>
      </c>
      <c r="G10" s="33" t="s">
        <v>256</v>
      </c>
      <c r="H10" s="32" t="s">
        <v>257</v>
      </c>
    </row>
    <row r="11" customFormat="false" ht="33.75" hidden="false" customHeight="true" outlineLevel="0" collapsed="false">
      <c r="A11" s="5" t="s">
        <v>258</v>
      </c>
      <c r="B11" s="5" t="s">
        <v>229</v>
      </c>
      <c r="C11" s="5" t="s">
        <v>253</v>
      </c>
      <c r="D11" s="5" t="s">
        <v>254</v>
      </c>
      <c r="E11" s="5" t="s">
        <v>248</v>
      </c>
      <c r="F11" s="32" t="s">
        <v>259</v>
      </c>
      <c r="G11" s="33" t="s">
        <v>256</v>
      </c>
      <c r="H11" s="32" t="s">
        <v>260</v>
      </c>
    </row>
    <row r="12" customFormat="false" ht="33.75" hidden="false" customHeight="true" outlineLevel="0" collapsed="false">
      <c r="A12" s="5" t="s">
        <v>261</v>
      </c>
      <c r="B12" s="5" t="s">
        <v>229</v>
      </c>
      <c r="C12" s="5" t="s">
        <v>262</v>
      </c>
      <c r="D12" s="5" t="s">
        <v>263</v>
      </c>
      <c r="E12" s="5" t="s">
        <v>248</v>
      </c>
      <c r="F12" s="32" t="s">
        <v>255</v>
      </c>
      <c r="G12" s="33" t="s">
        <v>264</v>
      </c>
      <c r="H12" s="32" t="s">
        <v>265</v>
      </c>
    </row>
    <row r="13" customFormat="false" ht="33.75" hidden="false" customHeight="true" outlineLevel="0" collapsed="false">
      <c r="A13" s="5" t="s">
        <v>266</v>
      </c>
      <c r="B13" s="5" t="s">
        <v>229</v>
      </c>
      <c r="C13" s="5" t="s">
        <v>262</v>
      </c>
      <c r="D13" s="5" t="s">
        <v>263</v>
      </c>
      <c r="E13" s="5" t="s">
        <v>248</v>
      </c>
      <c r="F13" s="32" t="s">
        <v>259</v>
      </c>
      <c r="G13" s="33" t="s">
        <v>264</v>
      </c>
      <c r="H13" s="32" t="s">
        <v>267</v>
      </c>
    </row>
    <row r="14" customFormat="false" ht="33.75" hidden="false" customHeight="true" outlineLevel="0" collapsed="false">
      <c r="A14" s="5" t="s">
        <v>268</v>
      </c>
      <c r="B14" s="5" t="s">
        <v>229</v>
      </c>
      <c r="C14" s="5" t="s">
        <v>269</v>
      </c>
      <c r="D14" s="5" t="s">
        <v>270</v>
      </c>
      <c r="E14" s="5" t="s">
        <v>248</v>
      </c>
      <c r="F14" s="32" t="s">
        <v>255</v>
      </c>
      <c r="G14" s="33" t="s">
        <v>271</v>
      </c>
      <c r="H14" s="32" t="s">
        <v>272</v>
      </c>
    </row>
    <row r="15" customFormat="false" ht="33.75" hidden="false" customHeight="true" outlineLevel="0" collapsed="false">
      <c r="A15" s="5" t="s">
        <v>273</v>
      </c>
      <c r="B15" s="5" t="s">
        <v>229</v>
      </c>
      <c r="C15" s="5" t="s">
        <v>269</v>
      </c>
      <c r="D15" s="5" t="s">
        <v>270</v>
      </c>
      <c r="E15" s="5" t="s">
        <v>248</v>
      </c>
      <c r="F15" s="32" t="s">
        <v>259</v>
      </c>
      <c r="G15" s="33" t="s">
        <v>271</v>
      </c>
      <c r="H15" s="32" t="s">
        <v>274</v>
      </c>
    </row>
    <row r="16" customFormat="false" ht="33.75" hidden="false" customHeight="true" outlineLevel="0" collapsed="false">
      <c r="A16" s="5" t="s">
        <v>275</v>
      </c>
      <c r="B16" s="5" t="s">
        <v>229</v>
      </c>
      <c r="C16" s="5" t="s">
        <v>276</v>
      </c>
      <c r="D16" s="5" t="s">
        <v>277</v>
      </c>
      <c r="E16" s="5" t="s">
        <v>232</v>
      </c>
      <c r="F16" s="32" t="s">
        <v>278</v>
      </c>
      <c r="G16" s="33" t="s">
        <v>279</v>
      </c>
      <c r="H16" s="32" t="s">
        <v>280</v>
      </c>
    </row>
    <row r="17" customFormat="false" ht="33.75" hidden="false" customHeight="true" outlineLevel="0" collapsed="false">
      <c r="A17" s="5" t="s">
        <v>281</v>
      </c>
      <c r="B17" s="5" t="s">
        <v>229</v>
      </c>
      <c r="C17" s="5" t="s">
        <v>276</v>
      </c>
      <c r="D17" s="5" t="s">
        <v>277</v>
      </c>
      <c r="E17" s="5" t="s">
        <v>232</v>
      </c>
      <c r="F17" s="32" t="s">
        <v>282</v>
      </c>
      <c r="G17" s="33" t="s">
        <v>279</v>
      </c>
      <c r="H17" s="32" t="s">
        <v>283</v>
      </c>
    </row>
    <row r="18" customFormat="false" ht="33.75" hidden="false" customHeight="true" outlineLevel="0" collapsed="false">
      <c r="A18" s="5" t="s">
        <v>284</v>
      </c>
      <c r="B18" s="5" t="s">
        <v>229</v>
      </c>
      <c r="C18" s="5" t="s">
        <v>276</v>
      </c>
      <c r="D18" s="5" t="s">
        <v>277</v>
      </c>
      <c r="E18" s="5" t="s">
        <v>232</v>
      </c>
      <c r="F18" s="32" t="s">
        <v>285</v>
      </c>
      <c r="G18" s="33" t="s">
        <v>279</v>
      </c>
      <c r="H18" s="32" t="s">
        <v>286</v>
      </c>
    </row>
    <row r="19" customFormat="false" ht="33.75" hidden="false" customHeight="true" outlineLevel="0" collapsed="false">
      <c r="A19" s="5" t="s">
        <v>287</v>
      </c>
      <c r="B19" s="5" t="s">
        <v>229</v>
      </c>
      <c r="C19" s="5" t="s">
        <v>276</v>
      </c>
      <c r="D19" s="5" t="s">
        <v>277</v>
      </c>
      <c r="E19" s="5" t="s">
        <v>232</v>
      </c>
      <c r="F19" s="32" t="s">
        <v>288</v>
      </c>
      <c r="G19" s="33" t="s">
        <v>279</v>
      </c>
      <c r="H19" s="32" t="s">
        <v>289</v>
      </c>
    </row>
    <row r="20" customFormat="false" ht="33.75" hidden="false" customHeight="true" outlineLevel="0" collapsed="false">
      <c r="A20" s="5" t="s">
        <v>290</v>
      </c>
      <c r="B20" s="5" t="s">
        <v>229</v>
      </c>
      <c r="C20" s="5" t="s">
        <v>276</v>
      </c>
      <c r="D20" s="5" t="s">
        <v>277</v>
      </c>
      <c r="E20" s="5" t="s">
        <v>232</v>
      </c>
      <c r="F20" s="32" t="s">
        <v>291</v>
      </c>
      <c r="G20" s="33" t="s">
        <v>279</v>
      </c>
      <c r="H20" s="32" t="s">
        <v>292</v>
      </c>
    </row>
    <row r="21" customFormat="false" ht="33.75" hidden="false" customHeight="true" outlineLevel="0" collapsed="false">
      <c r="A21" s="5" t="s">
        <v>293</v>
      </c>
      <c r="B21" s="5" t="s">
        <v>229</v>
      </c>
      <c r="C21" s="5" t="s">
        <v>276</v>
      </c>
      <c r="D21" s="5" t="s">
        <v>277</v>
      </c>
      <c r="E21" s="5" t="s">
        <v>232</v>
      </c>
      <c r="F21" s="32" t="s">
        <v>294</v>
      </c>
      <c r="G21" s="33" t="s">
        <v>279</v>
      </c>
      <c r="H21" s="32" t="s">
        <v>295</v>
      </c>
    </row>
    <row r="22" customFormat="false" ht="33.75" hidden="false" customHeight="true" outlineLevel="0" collapsed="false">
      <c r="A22" s="5" t="s">
        <v>296</v>
      </c>
      <c r="B22" s="5" t="s">
        <v>229</v>
      </c>
      <c r="C22" s="5" t="s">
        <v>276</v>
      </c>
      <c r="D22" s="5" t="s">
        <v>277</v>
      </c>
      <c r="E22" s="5" t="s">
        <v>232</v>
      </c>
      <c r="F22" s="32" t="s">
        <v>297</v>
      </c>
      <c r="G22" s="33" t="s">
        <v>279</v>
      </c>
      <c r="H22" s="32" t="s">
        <v>298</v>
      </c>
    </row>
    <row r="23" customFormat="false" ht="33.75" hidden="false" customHeight="true" outlineLevel="0" collapsed="false">
      <c r="A23" s="5" t="s">
        <v>299</v>
      </c>
      <c r="B23" s="5" t="s">
        <v>229</v>
      </c>
      <c r="C23" s="5" t="s">
        <v>269</v>
      </c>
      <c r="D23" s="5" t="s">
        <v>270</v>
      </c>
      <c r="E23" s="5" t="s">
        <v>248</v>
      </c>
      <c r="F23" s="32" t="s">
        <v>300</v>
      </c>
      <c r="G23" s="33" t="s">
        <v>271</v>
      </c>
      <c r="H23" s="32" t="s">
        <v>301</v>
      </c>
    </row>
    <row r="24" customFormat="false" ht="33.75" hidden="false" customHeight="true" outlineLevel="0" collapsed="false">
      <c r="A24" s="5" t="s">
        <v>302</v>
      </c>
      <c r="B24" s="5" t="s">
        <v>229</v>
      </c>
      <c r="C24" s="5" t="s">
        <v>303</v>
      </c>
      <c r="D24" s="5" t="s">
        <v>304</v>
      </c>
      <c r="E24" s="5" t="s">
        <v>248</v>
      </c>
      <c r="F24" s="32" t="s">
        <v>305</v>
      </c>
      <c r="G24" s="33" t="s">
        <v>306</v>
      </c>
      <c r="H24" s="32" t="s">
        <v>307</v>
      </c>
    </row>
    <row r="25" customFormat="false" ht="33.75" hidden="false" customHeight="true" outlineLevel="0" collapsed="false">
      <c r="A25" s="5" t="s">
        <v>308</v>
      </c>
      <c r="B25" s="5" t="s">
        <v>229</v>
      </c>
      <c r="C25" s="5" t="s">
        <v>269</v>
      </c>
      <c r="D25" s="5" t="s">
        <v>270</v>
      </c>
      <c r="E25" s="5" t="s">
        <v>248</v>
      </c>
      <c r="F25" s="32" t="s">
        <v>309</v>
      </c>
      <c r="G25" s="33" t="s">
        <v>271</v>
      </c>
      <c r="H25" s="32" t="s">
        <v>310</v>
      </c>
    </row>
    <row r="26" customFormat="false" ht="33.75" hidden="false" customHeight="true" outlineLevel="0" collapsed="false">
      <c r="A26" s="5" t="s">
        <v>311</v>
      </c>
      <c r="B26" s="5" t="s">
        <v>229</v>
      </c>
      <c r="C26" s="5" t="s">
        <v>312</v>
      </c>
      <c r="D26" s="5" t="s">
        <v>263</v>
      </c>
      <c r="E26" s="5" t="s">
        <v>248</v>
      </c>
      <c r="F26" s="32" t="s">
        <v>313</v>
      </c>
      <c r="G26" s="33" t="s">
        <v>314</v>
      </c>
      <c r="H26" s="32" t="s">
        <v>315</v>
      </c>
    </row>
    <row r="27" customFormat="false" ht="33.75" hidden="false" customHeight="true" outlineLevel="0" collapsed="false">
      <c r="A27" s="5" t="s">
        <v>316</v>
      </c>
      <c r="B27" s="5" t="s">
        <v>317</v>
      </c>
      <c r="C27" s="5" t="s">
        <v>318</v>
      </c>
      <c r="D27" s="5" t="s">
        <v>319</v>
      </c>
      <c r="E27" s="5" t="s">
        <v>320</v>
      </c>
      <c r="F27" s="32" t="s">
        <v>321</v>
      </c>
      <c r="G27" s="33" t="s">
        <v>322</v>
      </c>
      <c r="H27" s="32" t="s">
        <v>323</v>
      </c>
    </row>
    <row r="28" customFormat="false" ht="33.75" hidden="false" customHeight="true" outlineLevel="0" collapsed="false">
      <c r="A28" s="5" t="s">
        <v>324</v>
      </c>
      <c r="B28" s="5" t="s">
        <v>317</v>
      </c>
      <c r="C28" s="5" t="s">
        <v>318</v>
      </c>
      <c r="D28" s="5" t="s">
        <v>319</v>
      </c>
      <c r="E28" s="5" t="s">
        <v>248</v>
      </c>
      <c r="F28" s="32" t="s">
        <v>325</v>
      </c>
      <c r="G28" s="33" t="s">
        <v>322</v>
      </c>
      <c r="H28" s="32" t="s">
        <v>326</v>
      </c>
    </row>
    <row r="29" customFormat="false" ht="33.75" hidden="false" customHeight="true" outlineLevel="0" collapsed="false">
      <c r="A29" s="5" t="s">
        <v>327</v>
      </c>
      <c r="B29" s="5" t="s">
        <v>328</v>
      </c>
      <c r="C29" s="5" t="s">
        <v>329</v>
      </c>
      <c r="D29" s="5" t="s">
        <v>330</v>
      </c>
      <c r="E29" s="5" t="s">
        <v>248</v>
      </c>
      <c r="F29" s="32" t="s">
        <v>331</v>
      </c>
      <c r="G29" s="33" t="s">
        <v>332</v>
      </c>
      <c r="H29" s="32" t="s">
        <v>333</v>
      </c>
    </row>
    <row r="30" customFormat="false" ht="33.75" hidden="false" customHeight="true" outlineLevel="0" collapsed="false">
      <c r="A30" s="5" t="s">
        <v>334</v>
      </c>
      <c r="B30" s="5" t="s">
        <v>328</v>
      </c>
      <c r="C30" s="5" t="s">
        <v>335</v>
      </c>
      <c r="D30" s="5" t="s">
        <v>330</v>
      </c>
      <c r="E30" s="5" t="s">
        <v>248</v>
      </c>
      <c r="F30" s="32" t="s">
        <v>336</v>
      </c>
      <c r="G30" s="33" t="s">
        <v>337</v>
      </c>
      <c r="H30" s="32" t="s">
        <v>338</v>
      </c>
    </row>
    <row r="31" customFormat="false" ht="33.75" hidden="false" customHeight="true" outlineLevel="0" collapsed="false">
      <c r="A31" s="5" t="s">
        <v>339</v>
      </c>
      <c r="B31" s="5" t="s">
        <v>340</v>
      </c>
      <c r="C31" s="5" t="s">
        <v>341</v>
      </c>
      <c r="D31" s="5" t="s">
        <v>342</v>
      </c>
      <c r="E31" s="5" t="s">
        <v>320</v>
      </c>
      <c r="F31" s="32" t="s">
        <v>343</v>
      </c>
      <c r="G31" s="33" t="s">
        <v>344</v>
      </c>
      <c r="H31" s="32" t="s">
        <v>345</v>
      </c>
    </row>
    <row r="32" customFormat="false" ht="33.75" hidden="false" customHeight="true" outlineLevel="0" collapsed="false">
      <c r="A32" s="5" t="s">
        <v>346</v>
      </c>
      <c r="B32" s="5" t="s">
        <v>340</v>
      </c>
      <c r="C32" s="5" t="s">
        <v>347</v>
      </c>
      <c r="D32" s="5" t="s">
        <v>348</v>
      </c>
      <c r="E32" s="5" t="s">
        <v>320</v>
      </c>
      <c r="F32" s="32" t="s">
        <v>349</v>
      </c>
      <c r="G32" s="33" t="s">
        <v>350</v>
      </c>
      <c r="H32" s="32" t="s">
        <v>351</v>
      </c>
    </row>
    <row r="33" customFormat="false" ht="33.75" hidden="false" customHeight="true" outlineLevel="0" collapsed="false">
      <c r="A33" s="5" t="s">
        <v>352</v>
      </c>
      <c r="B33" s="5" t="s">
        <v>353</v>
      </c>
      <c r="C33" s="5" t="s">
        <v>354</v>
      </c>
      <c r="D33" s="5" t="s">
        <v>355</v>
      </c>
      <c r="E33" s="5" t="s">
        <v>232</v>
      </c>
      <c r="F33" s="32" t="s">
        <v>356</v>
      </c>
      <c r="G33" s="33" t="s">
        <v>357</v>
      </c>
      <c r="H33" s="32" t="s">
        <v>358</v>
      </c>
    </row>
    <row r="34" customFormat="false" ht="33.75" hidden="false" customHeight="true" outlineLevel="0" collapsed="false">
      <c r="A34" s="5" t="s">
        <v>359</v>
      </c>
      <c r="B34" s="5" t="s">
        <v>340</v>
      </c>
      <c r="C34" s="5" t="s">
        <v>360</v>
      </c>
      <c r="D34" s="5" t="s">
        <v>361</v>
      </c>
      <c r="E34" s="5" t="s">
        <v>320</v>
      </c>
      <c r="F34" s="32" t="s">
        <v>362</v>
      </c>
      <c r="G34" s="33" t="s">
        <v>363</v>
      </c>
      <c r="H34" s="32" t="s">
        <v>364</v>
      </c>
    </row>
  </sheetData>
  <autoFilter ref="A3:H34"/>
  <mergeCells count="2">
    <mergeCell ref="A1:H1"/>
    <mergeCell ref="A2:H2"/>
  </mergeCells>
  <hyperlinks>
    <hyperlink ref="G4" r:id="rId1" display="https://www.sec.gov/Archives/edgar/data/2023554/000202355425000034/sndk-20250627.htm"/>
    <hyperlink ref="G5" r:id="rId2" display="https://www.sec.gov/Archives/edgar/data/2023554/000202355425000034/sndk-20250627.htm"/>
    <hyperlink ref="G6" r:id="rId3" display="https://www.sec.gov/Archives/edgar/data/2023554/000202355425000034/sndk-20250627.htm"/>
    <hyperlink ref="G7" r:id="rId4" display="https://www.sec.gov/Archives/edgar/data/2023554/000202355425000034/sndk-20250627.htm"/>
    <hyperlink ref="G8" r:id="rId5" display="https://www.sec.gov/Archives/edgar/data/2023554/000202355425000034/sndk-20250627.htm"/>
    <hyperlink ref="G9" r:id="rId6" display="https://investor.sandisk.com/news-releases/news-release-details/sandisk-reports-fiscal-fourth-quarter-and-fiscal-year-2025"/>
    <hyperlink ref="G10" r:id="rId7" display="https://investor.sandisk.com/news-releases/news-release-details/sandisk-reports-fiscal-first-quarter-2026-financial-results"/>
    <hyperlink ref="G11" r:id="rId8" display="https://investor.sandisk.com/news-releases/news-release-details/sandisk-reports-fiscal-first-quarter-2026-financial-results"/>
    <hyperlink ref="G12" r:id="rId9" display="https://investor.sandisk.com/news-releases/news-release-details/sandisk-reports-fiscal-second-quarter-2026-financial-results"/>
    <hyperlink ref="G13" r:id="rId10" display="https://investor.sandisk.com/news-releases/news-release-details/sandisk-reports-fiscal-second-quarter-2026-financial-results"/>
    <hyperlink ref="G14" r:id="rId11" display="https://investor.sandisk.com/news-releases/news-release-details/sandisk-reports-fiscal-third-quarter-2026-financial-results"/>
    <hyperlink ref="G15" r:id="rId12" display="https://investor.sandisk.com/news-releases/news-release-details/sandisk-reports-fiscal-third-quarter-2026-financial-results"/>
    <hyperlink ref="G16" r:id="rId13" display="https://www.sec.gov/Archives/edgar/data/2023554/000162828026029401/sndk-20260403.htm"/>
    <hyperlink ref="G17" r:id="rId14" display="https://www.sec.gov/Archives/edgar/data/2023554/000162828026029401/sndk-20260403.htm"/>
    <hyperlink ref="G18" r:id="rId15" display="https://www.sec.gov/Archives/edgar/data/2023554/000162828026029401/sndk-20260403.htm"/>
    <hyperlink ref="G19" r:id="rId16" display="https://www.sec.gov/Archives/edgar/data/2023554/000162828026029401/sndk-20260403.htm"/>
    <hyperlink ref="G20" r:id="rId17" display="https://www.sec.gov/Archives/edgar/data/2023554/000162828026029401/sndk-20260403.htm"/>
    <hyperlink ref="G21" r:id="rId18" display="https://www.sec.gov/Archives/edgar/data/2023554/000162828026029401/sndk-20260403.htm"/>
    <hyperlink ref="G22" r:id="rId19" display="https://www.sec.gov/Archives/edgar/data/2023554/000162828026029401/sndk-20260403.htm"/>
    <hyperlink ref="G23" r:id="rId20" display="https://investor.sandisk.com/news-releases/news-release-details/sandisk-reports-fiscal-third-quarter-2026-financial-results"/>
    <hyperlink ref="G24" r:id="rId21" display="https://investor.sandisk.com/news-releases/news-release-details/sandisk-report-fiscal-fourth-quarter-and-fiscal-year-2026"/>
    <hyperlink ref="G25" r:id="rId22" display="https://investor.sandisk.com/news-releases/news-release-details/sandisk-reports-fiscal-third-quarter-2026-financial-results"/>
    <hyperlink ref="G26" r:id="rId23" display="https://investor.sandisk.com/news-releases/news-release-details/kioxia-and-sandisk-extend-yokkaichi-joint-venture-agreement"/>
    <hyperlink ref="G27" r:id="rId24" display="https://www.kioxia-holdings.com/content/dam/kioxia-hd/en-jp/ir/library/event/asset/Kioxia_Investor_Day_2026_en_script.pdf"/>
    <hyperlink ref="G28" r:id="rId25" display="https://www.kioxia-holdings.com/content/dam/kioxia-hd/en-jp/ir/library/event/asset/Kioxia_Investor_Day_2026_en_script.pdf"/>
    <hyperlink ref="G29" r:id="rId26" display="https://investors.micron.com/node/50671"/>
    <hyperlink ref="G30" r:id="rId27" display="https://investors.micron.com/static-files/2354ecda-77a0-4ddd-8462-a631eb491356"/>
    <hyperlink ref="G31" r:id="rId28" display="https://www.trendforce.com/presscenter/news/20260202-12911.html"/>
    <hyperlink ref="G32" r:id="rId29" display="https://www.trendforce.com/presscenter/news/20260331-12995.html"/>
    <hyperlink ref="G33" r:id="rId30" display="https://www.nasdaq.com/market-activity/stocks/sndk"/>
    <hyperlink ref="G34" r:id="rId31" display="https://www.trendforce.com/research/download/RP260603K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2026-07-17T16:53:05Z</dcterms:created>
  <dc:creator>Codex</dc:creator>
  <dc:description/>
  <dc:language>en-US</dc:language>
  <cp:lastModifiedBy/>
  <dcterms:modified xsi:type="dcterms:W3CDTF">2026-07-17T16:53:05Z</dcterms:modified>
  <cp:revision>0</cp:revision>
  <dc:subject>AI hardware and NAND financial forecasting</dc:subject>
  <dc:title>SanDisk FY2026E-FY2030E financial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