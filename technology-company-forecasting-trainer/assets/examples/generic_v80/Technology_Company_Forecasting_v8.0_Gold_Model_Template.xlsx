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b5dceebf6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Control" sheetId="1" r:id="Rc9905f98b5274035"/>
    <x:sheet xmlns:r="http://schemas.openxmlformats.org/officeDocument/2006/relationships" name="Sources" sheetId="2" r:id="R775c14f4bb804ef0"/>
    <x:sheet xmlns:r="http://schemas.openxmlformats.org/officeDocument/2006/relationships" name="Research_Coverage" sheetId="3" r:id="R0d084af30e7c4506"/>
    <x:sheet xmlns:r="http://schemas.openxmlformats.org/officeDocument/2006/relationships" name="Historical" sheetId="4" r:id="R94746c78c15f4ea9"/>
    <x:sheet xmlns:r="http://schemas.openxmlformats.org/officeDocument/2006/relationships" name="Segments_Products" sheetId="5" r:id="Rc7ae765d0bc64a45"/>
    <x:sheet xmlns:r="http://schemas.openxmlformats.org/officeDocument/2006/relationships" name="Customers_Demand" sheetId="6" r:id="R9dca5e06001741f5"/>
    <x:sheet xmlns:r="http://schemas.openxmlformats.org/officeDocument/2006/relationships" name="Supply_Capacity" sheetId="7" r:id="Rba1e0a4ac7ea4df4"/>
    <x:sheet xmlns:r="http://schemas.openxmlformats.org/officeDocument/2006/relationships" name="Technology_Stages" sheetId="8" r:id="R396f546eaff940f6"/>
    <x:sheet xmlns:r="http://schemas.openxmlformats.org/officeDocument/2006/relationships" name="Quality_Moat" sheetId="9" r:id="Rf862b108a66a485a"/>
    <x:sheet xmlns:r="http://schemas.openxmlformats.org/officeDocument/2006/relationships" name="Assumptions" sheetId="10" r:id="R4ace1bdcda3345e7"/>
    <x:sheet xmlns:r="http://schemas.openxmlformats.org/officeDocument/2006/relationships" name="Quarterly_FY1" sheetId="11" r:id="Rb3d05f2106d34079"/>
    <x:sheet xmlns:r="http://schemas.openxmlformats.org/officeDocument/2006/relationships" name="Annual_P&amp;L" sheetId="12" r:id="R881d4786fa0a483b"/>
    <x:sheet xmlns:r="http://schemas.openxmlformats.org/officeDocument/2006/relationships" name="Balance_Sheet" sheetId="13" r:id="Rd70ce91c570e462c"/>
    <x:sheet xmlns:r="http://schemas.openxmlformats.org/officeDocument/2006/relationships" name="Cash_Flow" sheetId="14" r:id="R63f4d2016cd1427d"/>
    <x:sheet xmlns:r="http://schemas.openxmlformats.org/officeDocument/2006/relationships" name="Scenarios" sheetId="15" r:id="Re0337846e9b84767"/>
    <x:sheet xmlns:r="http://schemas.openxmlformats.org/officeDocument/2006/relationships" name="Valuation" sheetId="16" r:id="R46ac142b15f84ef1"/>
    <x:sheet xmlns:r="http://schemas.openxmlformats.org/officeDocument/2006/relationships" name="Reverse_Implied" sheetId="17" r:id="R0560352fb7d6475a"/>
    <x:sheet xmlns:r="http://schemas.openxmlformats.org/officeDocument/2006/relationships" name="Monitoring" sheetId="18" r:id="Rd726713f23de4fe7"/>
    <x:sheet xmlns:r="http://schemas.openxmlformats.org/officeDocument/2006/relationships" name="QA_Checks" sheetId="19" r:id="R67806c2423c240bd"/>
    <x:sheet xmlns:r="http://schemas.openxmlformats.org/officeDocument/2006/relationships" name="Run_Manifest" sheetId="20" r:id="R1252100a2513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#,##0.00;[Red]($#,##0.00);-"/>
    <x:numFmt numFmtId="201" formatCode="#,##0.0"/>
    <x:numFmt numFmtId="202" formatCode="yyyy-mm-dd"/>
    <x:numFmt numFmtId="203" formatCode="#,##0.0;[Red](#,##0.0);-"/>
    <x:numFmt numFmtId="204" formatCode="0.0%;[Red](0.0%);-"/>
    <x:numFmt numFmtId="205" formatCode="0.0"/>
    <x:numFmt numFmtId="206" formatCode="0.0x"/>
    <x:numFmt numFmtId="207" formatCode="0.000"/>
    <x:numFmt numFmtId="208" formatCode="$0.00;[Red]($0.00);-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9"/>
      <x:color rgb="FF344054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0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201" fontId="5" fillId="6" borderId="0" xfId="0" applyNumberFormat="1" applyFont="1" applyFill="1" applyBorder="1"/>
    <x:xf numFmtId="201" fontId="5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5" fillId="6" borderId="0" xfId="0" applyNumberFormat="1" applyFont="1" applyFill="1" applyBorder="1"/>
    <x:xf numFmtId="202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2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2" fontId="5" fillId="6" borderId="1" xfId="0" applyNumberFormat="1" applyFont="1" applyFill="1" applyBorder="1" applyAlignment="1">
      <x:alignment wrapText="1"/>
    </x:xf>
    <x:xf numFmtId="203" fontId="5" fillId="6" borderId="0" xfId="0" applyNumberFormat="1" applyFont="1" applyFill="1" applyBorder="1"/>
    <x:xf numFmtId="203" fontId="5" fillId="6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5" fillId="6" borderId="0" xfId="0" applyNumberFormat="1" applyFont="1" applyFill="1" applyBorder="1"/>
    <x:xf numFmtId="204" fontId="5" fillId="6" borderId="1" xfId="0" applyNumberFormat="1" applyFont="1" applyFill="1" applyBorder="1"/>
    <x:xf numFmtId="203" fontId="0" fillId="0" borderId="0" xfId="0" applyNumberFormat="1" applyFont="1" applyFill="1" applyBorder="1"/>
    <x:xf numFmtId="203" fontId="3" fillId="4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/>
    <x:xf numFmtId="203" fontId="3" fillId="4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5" fillId="6" borderId="0" xfId="0" applyNumberFormat="1" applyFont="1" applyFill="1" applyBorder="1" applyAlignment="1">
      <x:alignment wrapText="1"/>
    </x:xf>
    <x:xf numFmtId="204" fontId="5" fillId="6" borderId="1" xfId="0" applyNumberFormat="1" applyFont="1" applyFill="1" applyBorder="1" applyAlignment="1">
      <x:alignment wrapText="1"/>
    </x:xf>
    <x:xf numFmtId="205" fontId="5" fillId="6" borderId="0" xfId="0" applyNumberFormat="1" applyFont="1" applyFill="1" applyBorder="1"/>
    <x:xf numFmtId="205" fontId="5" fillId="6" borderId="1" xfId="0" applyNumberFormat="1" applyFont="1" applyFill="1" applyBorder="1"/>
    <x:xf numFmtId="205" fontId="5" fillId="6" borderId="0" xfId="0" applyNumberFormat="1" applyFont="1" applyFill="1" applyBorder="1" applyAlignment="1">
      <x:alignment wrapText="1"/>
    </x:xf>
    <x:xf numFmtId="205" fontId="5" fillId="6" borderId="1" xfId="0" applyNumberFormat="1" applyFont="1" applyFill="1" applyBorder="1" applyAlignment="1">
      <x:alignment wrapText="1"/>
    </x:xf>
    <x:xf numFmtId="206" fontId="5" fillId="6" borderId="0" xfId="0" applyNumberFormat="1" applyFont="1" applyFill="1" applyBorder="1"/>
    <x:xf numFmtId="206" fontId="5" fillId="6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1" fontId="6" fillId="0" borderId="0" xfId="0" applyNumberFormat="1" applyFont="1" applyFill="1" applyBorder="1"/>
    <x:xf numFmtId="208" fontId="6" fillId="0" borderId="0" xfId="0" applyNumberFormat="1" applyFont="1" applyFill="1" applyBorder="1"/>
    <x:xf numFmtId="203" fontId="6" fillId="0" borderId="1" xfId="0" applyNumberFormat="1" applyFont="1" applyFill="1" applyBorder="1"/>
    <x:xf numFmtId="204" fontId="6" fillId="0" borderId="1" xfId="0" applyNumberFormat="1" applyFont="1" applyFill="1" applyBorder="1"/>
    <x:xf numFmtId="201" fontId="6" fillId="0" borderId="1" xfId="0" applyNumberFormat="1" applyFont="1" applyFill="1" applyBorder="1"/>
    <x:xf numFmtId="208" fontId="6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  <x:dxfs count="4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5128a22e64312" /><Relationship Type="http://schemas.openxmlformats.org/officeDocument/2006/relationships/theme" Target="/xl/theme/theme1.xml" Id="R2f950cdb0a5f4016" /><Relationship Type="http://schemas.openxmlformats.org/officeDocument/2006/relationships/sharedStrings" Target="/xl/sharedStrings.xml" Id="R295718c0d9af4bb7" /><Relationship Type="http://schemas.openxmlformats.org/officeDocument/2006/relationships/worksheet" Target="/xl/worksheets/sheet1.xml" Id="Rc9905f98b5274035" /><Relationship Type="http://schemas.openxmlformats.org/officeDocument/2006/relationships/worksheet" Target="/xl/worksheets/sheet2.xml" Id="R775c14f4bb804ef0" /><Relationship Type="http://schemas.openxmlformats.org/officeDocument/2006/relationships/worksheet" Target="/xl/worksheets/sheet3.xml" Id="R0d084af30e7c4506" /><Relationship Type="http://schemas.openxmlformats.org/officeDocument/2006/relationships/worksheet" Target="/xl/worksheets/sheet4.xml" Id="R94746c78c15f4ea9" /><Relationship Type="http://schemas.openxmlformats.org/officeDocument/2006/relationships/worksheet" Target="/xl/worksheets/sheet5.xml" Id="Rc7ae765d0bc64a45" /><Relationship Type="http://schemas.openxmlformats.org/officeDocument/2006/relationships/worksheet" Target="/xl/worksheets/sheet6.xml" Id="R9dca5e06001741f5" /><Relationship Type="http://schemas.openxmlformats.org/officeDocument/2006/relationships/worksheet" Target="/xl/worksheets/sheet7.xml" Id="Rba1e0a4ac7ea4df4" /><Relationship Type="http://schemas.openxmlformats.org/officeDocument/2006/relationships/worksheet" Target="/xl/worksheets/sheet8.xml" Id="R396f546eaff940f6" /><Relationship Type="http://schemas.openxmlformats.org/officeDocument/2006/relationships/worksheet" Target="/xl/worksheets/sheet9.xml" Id="Rf862b108a66a485a" /><Relationship Type="http://schemas.openxmlformats.org/officeDocument/2006/relationships/worksheet" Target="/xl/worksheets/sheet10.xml" Id="R4ace1bdcda3345e7" /><Relationship Type="http://schemas.openxmlformats.org/officeDocument/2006/relationships/worksheet" Target="/xl/worksheets/sheet11.xml" Id="Rb3d05f2106d34079" /><Relationship Type="http://schemas.openxmlformats.org/officeDocument/2006/relationships/worksheet" Target="/xl/worksheets/sheet12.xml" Id="R881d4786fa0a483b" /><Relationship Type="http://schemas.openxmlformats.org/officeDocument/2006/relationships/worksheet" Target="/xl/worksheets/sheet13.xml" Id="Rd70ce91c570e462c" /><Relationship Type="http://schemas.openxmlformats.org/officeDocument/2006/relationships/worksheet" Target="/xl/worksheets/sheet14.xml" Id="R63f4d2016cd1427d" /><Relationship Type="http://schemas.openxmlformats.org/officeDocument/2006/relationships/worksheet" Target="/xl/worksheets/sheet15.xml" Id="Re0337846e9b84767" /><Relationship Type="http://schemas.openxmlformats.org/officeDocument/2006/relationships/worksheet" Target="/xl/worksheets/sheet16.xml" Id="R46ac142b15f84ef1" /><Relationship Type="http://schemas.openxmlformats.org/officeDocument/2006/relationships/worksheet" Target="/xl/worksheets/sheet17.xml" Id="R0560352fb7d6475a" /><Relationship Type="http://schemas.openxmlformats.org/officeDocument/2006/relationships/worksheet" Target="/xl/worksheets/sheet18.xml" Id="Rd726713f23de4fe7" /><Relationship Type="http://schemas.openxmlformats.org/officeDocument/2006/relationships/worksheet" Target="/xl/worksheets/sheet19.xml" Id="R67806c2423c240bd" /><Relationship Type="http://schemas.openxmlformats.org/officeDocument/2006/relationships/worksheet" Target="/xl/worksheets/sheet20.xml" Id="R1252100a25134f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f0df80e5b2444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e5061b0aaa24d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trajectory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FY+1</c:v>
          </c:tx>
          <c:cat>
            <c:strRef>
              <c:f>'Annual_P&amp;L'!$B$5</c:f>
              <c:strCache>
                <c:ptCount val="0"/>
              </c:strCache>
            </c:strRef>
          </c:cat>
          <c:val>
            <c:numRef>
              <c:f>'Annual_P&amp;L'!$C$5</c:f>
              <c:numCache>
                <c:formatCode>#,##0.0;[Red](#,##0.0);-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FY+2</c:v>
          </c:tx>
          <c:cat>
            <c:strRef>
              <c:f>'Annual_P&amp;L'!$B$5</c:f>
              <c:strCache>
                <c:ptCount val="0"/>
              </c:strCache>
            </c:strRef>
          </c:cat>
          <c:val>
            <c:numRef>
              <c:f>'Annual_P&amp;L'!$D$5</c:f>
              <c:numCache>
                <c:formatCode>#,##0.0;[Red](#,##0.0);-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FY+3</c:v>
          </c:tx>
          <c:cat>
            <c:strRef>
              <c:f>'Annual_P&amp;L'!$B$5</c:f>
              <c:strCache>
                <c:ptCount val="0"/>
              </c:strCache>
            </c:strRef>
          </c:cat>
          <c:val>
            <c:numRef>
              <c:f>'Annual_P&amp;L'!$E$5</c:f>
              <c:numCache>
                <c:formatCode>#,##0.0;[Red](#,##0.0);-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FY+4</c:v>
          </c:tx>
          <c:cat>
            <c:strRef>
              <c:f>'Annual_P&amp;L'!$B$5</c:f>
              <c:strCache>
                <c:ptCount val="0"/>
              </c:strCache>
            </c:strRef>
          </c:cat>
          <c:val>
            <c:numRef>
              <c:f>'Annual_P&amp;L'!$F$5</c:f>
              <c:numCache>
                <c:formatCode>#,##0.0;[Red](#,##0.0);-</c:formatCode>
                <c:ptCount val="0"/>
              </c:numCache>
            </c:numRef>
          </c:val>
          <c:smooth val="0"/>
        </c:ser>
        <c:ser>
          <c:idx val="4"/>
          <c:order val="4"/>
          <c:tx>
            <c:v>FY+5</c:v>
          </c:tx>
          <c:cat>
            <c:strRef>
              <c:f>'Annual_P&amp;L'!$B$5</c:f>
              <c:strCache>
                <c:ptCount val="0"/>
              </c:strCache>
            </c:strRef>
          </c:cat>
          <c:val>
            <c:numRef>
              <c:f>'Annual_P&amp;L'!$G$5</c:f>
              <c:numCache>
                <c:formatCode>#,##0.0;[Red](#,##0.0);-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Free cash flow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FY+1</c:v>
          </c:tx>
          <c:cat>
            <c:strRef>
              <c:f>'Cash_Flow'!$B$5:$B$14</c:f>
              <c:strCache>
                <c:ptCount val="0"/>
              </c:strCache>
            </c:strRef>
          </c:cat>
          <c:val>
            <c:numRef>
              <c:f>'Cash_Flow'!$C$5:$C$14</c:f>
              <c:numCache>
                <c:formatCode>#,##0.0;[Red](#,##0.0);-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FY+2</c:v>
          </c:tx>
          <c:cat>
            <c:strRef>
              <c:f>'Cash_Flow'!$B$5:$B$14</c:f>
              <c:strCache>
                <c:ptCount val="0"/>
              </c:strCache>
            </c:strRef>
          </c:cat>
          <c:val>
            <c:numRef>
              <c:f>'Cash_Flow'!$D$5:$D$14</c:f>
              <c:numCache>
                <c:formatCode>#,##0.0;[Red](#,##0.0);-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FY+3</c:v>
          </c:tx>
          <c:cat>
            <c:strRef>
              <c:f>'Cash_Flow'!$B$5:$B$14</c:f>
              <c:strCache>
                <c:ptCount val="0"/>
              </c:strCache>
            </c:strRef>
          </c:cat>
          <c:val>
            <c:numRef>
              <c:f>'Cash_Flow'!$E$5:$E$14</c:f>
              <c:numCache>
                <c:formatCode>#,##0.0;[Red](#,##0.0);-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FY+4</c:v>
          </c:tx>
          <c:cat>
            <c:strRef>
              <c:f>'Cash_Flow'!$B$5:$B$14</c:f>
              <c:strCache>
                <c:ptCount val="0"/>
              </c:strCache>
            </c:strRef>
          </c:cat>
          <c:val>
            <c:numRef>
              <c:f>'Cash_Flow'!$F$5:$F$14</c:f>
              <c:numCache>
                <c:formatCode>#,##0.0;[Red](#,##0.0);-</c:formatCode>
                <c:ptCount val="0"/>
              </c:numCache>
            </c:numRef>
          </c:val>
          <c:smooth val="0"/>
        </c:ser>
        <c:ser>
          <c:idx val="4"/>
          <c:order val="4"/>
          <c:tx>
            <c:v>FY+5</c:v>
          </c:tx>
          <c:cat>
            <c:strRef>
              <c:f>'Cash_Flow'!$B$5:$B$14</c:f>
              <c:strCache>
                <c:ptCount val="0"/>
              </c:strCache>
            </c:strRef>
          </c:cat>
          <c:val>
            <c:numRef>
              <c:f>'Cash_Flow'!$G$5:$G$14</c:f>
              <c:numCache>
                <c:formatCode>#,##0.0;[Red](#,##0.0);-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f0df80e5b2444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5061b0aaa24de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ae232922a84b418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2.xml" Id="R9d3651696b924c5e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5" hidden="0" customWidth="1"/>
    <x:col min="3" max="3" width="14" hidden="0" customWidth="1"/>
    <x:col min="4" max="4" width="42" hidden="0" customWidth="1"/>
    <x:col min="5" max="5" width="5" hidden="0" customWidth="1"/>
    <x:col min="6" max="6" width="18" hidden="0" customWidth="1"/>
    <x:col min="7" max="7" width="27" hidden="0" customWidth="1"/>
    <x:col min="8" max="8" width="34" hidden="0" customWidth="1"/>
    <x:col min="9" max="9" width="34" hidden="0" customWidth="1"/>
    <x:col min="10" max="10" width="22" hidden="0" customWidth="1"/>
  </x:cols>
  <x:sheetData>
    <x:row r="1" ht="28" customHeight="1">
      <x:c r="A1" s="4" t="str">
        <x:v>Technology Company Forecasting v8.0 — Gold-Direction Model Template</x:v>
      </x:c>
      <x:c r="B1" s="4" t="str">
        <x:v>Technology Company Forecasting v8.0 — Gold-Direction Model Template</x:v>
      </x:c>
      <x:c r="C1" s="4" t="str">
        <x:v>Technology Company Forecasting v8.0 — Gold-Direction Model Template</x:v>
      </x:c>
      <x:c r="D1" s="4" t="str">
        <x:v>Technology Company Forecasting v8.0 — Gold-Direction Model Template</x:v>
      </x:c>
      <x:c r="E1" s="4" t="str">
        <x:v>Technology Company Forecasting v8.0 — Gold-Direction Model Template</x:v>
      </x:c>
      <x:c r="F1" s="4" t="str">
        <x:v>Technology Company Forecasting v8.0 — Gold-Direction Model Template</x:v>
      </x:c>
      <x:c r="G1" s="4" t="str">
        <x:v>Technology Company Forecasting v8.0 — Gold-Direction Model Template</x:v>
      </x:c>
      <x:c r="H1" s="4" t="str">
        <x:v>Technology Company Forecasting v8.0 — Gold-Direction Model Template</x:v>
      </x:c>
      <x:c r="I1" s="4" t="str">
        <x:v>Technology Company Forecasting v8.0 — Gold-Direction Model Template</x:v>
      </x:c>
      <x:c r="J1" s="4" t="str">
        <x:v>Technology Company Forecasting v8.0 — Gold-Direction Model Template</x:v>
      </x:c>
    </x:row>
    <x:row r="2" ht="36" customHeight="1">
      <x:c r="A2" s="11" t="str">
        <x:v>Generic modular five-year technology-company model. Blue/yellow cells are editable assumptions, green cells link across sheets, black cells are formulas. Illustrative values are not investment recommendations.</x:v>
      </x:c>
      <x:c r="B2" s="11" t="str">
        <x:v>Generic modular five-year technology-company model. Blue/yellow cells are editable assumptions, green cells link across sheets, black cells are formulas. Illustrative values are not investment recommendations.</x:v>
      </x:c>
      <x:c r="C2" s="11" t="str">
        <x:v>Generic modular five-year technology-company model. Blue/yellow cells are editable assumptions, green cells link across sheets, black cells are formulas. Illustrative values are not investment recommendations.</x:v>
      </x:c>
      <x:c r="D2" s="11" t="str">
        <x:v>Generic modular five-year technology-company model. Blue/yellow cells are editable assumptions, green cells link across sheets, black cells are formulas. Illustrative values are not investment recommendations.</x:v>
      </x:c>
      <x:c r="E2" s="11" t="str">
        <x:v>Generic modular five-year technology-company model. Blue/yellow cells are editable assumptions, green cells link across sheets, black cells are formulas. Illustrative values are not investment recommendations.</x:v>
      </x:c>
      <x:c r="F2" s="11" t="str">
        <x:v>Generic modular five-year technology-company model. Blue/yellow cells are editable assumptions, green cells link across sheets, black cells are formulas. Illustrative values are not investment recommendations.</x:v>
      </x:c>
      <x:c r="G2" s="11" t="str">
        <x:v>Generic modular five-year technology-company model. Blue/yellow cells are editable assumptions, green cells link across sheets, black cells are formulas. Illustrative values are not investment recommendations.</x:v>
      </x:c>
      <x:c r="H2" s="11" t="str">
        <x:v>Generic modular five-year technology-company model. Blue/yellow cells are editable assumptions, green cells link across sheets, black cells are formulas. Illustrative values are not investment recommendations.</x:v>
      </x:c>
      <x:c r="I2" s="11" t="str">
        <x:v>Generic modular five-year technology-company model. Blue/yellow cells are editable assumptions, green cells link across sheets, black cells are formulas. Illustrative values are not investment recommendations.</x:v>
      </x:c>
      <x:c r="J2" s="11" t="str">
        <x:v>Generic modular five-year technology-company model. Blue/yellow cells are editable assumptions, green cells link across sheets, black cells are formulas. Illustrative values are not investment recommendations.</x:v>
      </x:c>
    </x:row>
    <x:row r="4" ht="21" customHeight="1">
      <x:c r="A4" s="18" t="str">
        <x:v>Mode and forecast contract</x:v>
      </x:c>
      <x:c r="B4" s="18" t="str">
        <x:v>Mode and forecast contract</x:v>
      </x:c>
      <x:c r="C4" s="18" t="str">
        <x:v>Mode and forecast contract</x:v>
      </x:c>
      <x:c r="D4" s="18" t="str">
        <x:v>Mode and forecast contract</x:v>
      </x:c>
      <x:c r="E4" s="18" t="str">
        <x:v>Mode and forecast contract</x:v>
      </x:c>
      <x:c r="F4" s="18" t="str">
        <x:v>Model architecture</x:v>
      </x:c>
      <x:c r="G4" s="18" t="str">
        <x:v>Model architecture</x:v>
      </x:c>
      <x:c r="H4" s="18" t="str">
        <x:v>Model architecture</x:v>
      </x:c>
      <x:c r="I4" s="18" t="str">
        <x:v>Model architecture</x:v>
      </x:c>
      <x:c r="J4" s="18" t="str">
        <x:v>Model architecture</x:v>
      </x:c>
    </x:row>
    <x:row r="5" ht="28" customHeight="1">
      <x:c r="A5" s="26" t="str">
        <x:v>Field</x:v>
      </x:c>
      <x:c r="B5" s="26" t="str">
        <x:v>Value</x:v>
      </x:c>
      <x:c r="C5" s="26" t="str">
        <x:v>Required</x:v>
      </x:c>
      <x:c r="D5" s="26" t="str">
        <x:v>Notes</x:v>
      </x:c>
      <x:c r="F5" s="26" t="str">
        <x:v>Layer</x:v>
      </x:c>
      <x:c r="G5" s="26" t="str">
        <x:v>Primary output</x:v>
      </x:c>
      <x:c r="H5" s="26" t="str">
        <x:v>Required evidence</x:v>
      </x:c>
      <x:c r="I5" s="26" t="str">
        <x:v>Failure handling</x:v>
      </x:c>
      <x:c r="J5" s="26" t="str">
        <x:v>Sheet</x:v>
      </x:c>
    </x:row>
    <x:row r="6" ht="42" customHeight="1">
      <x:c r="A6" t="str">
        <x:v>Company</x:v>
      </x:c>
      <x:c r="B6" s="34" t="str">
        <x:v>EXAMPLETECH</x:v>
      </x:c>
      <x:c r="C6" t="str">
        <x:v>Yes</x:v>
      </x:c>
      <x:c r="D6" t="str">
        <x:v>Replace with researched entity</x:v>
      </x:c>
      <x:c r="F6" s="40" t="str">
        <x:v>Sources</x:v>
      </x:c>
      <x:c r="G6" s="40" t="str">
        <x:v>Point-in-time Source Pack</x:v>
      </x:c>
      <x:c r="H6" s="40" t="str">
        <x:v>Original documents and dates</x:v>
      </x:c>
      <x:c r="I6" s="40" t="str">
        <x:v>Quarantine future/unknown dates</x:v>
      </x:c>
      <x:c r="J6" s="40" t="str">
        <x:v>Sources</x:v>
      </x:c>
    </x:row>
    <x:row r="7" ht="42" customHeight="1">
      <x:c r="A7" t="str">
        <x:v>Security</x:v>
      </x:c>
      <x:c r="B7" s="34" t="str">
        <x:v>EXM</x:v>
      </x:c>
      <x:c r="C7" t="str">
        <x:v>Yes</x:v>
      </x:c>
      <x:c r="D7" t="str">
        <x:v>Ticker or internal identifier</x:v>
      </x:c>
      <x:c r="F7" s="40" t="str">
        <x:v>Research</x:v>
      </x:c>
      <x:c r="G7" s="40" t="str">
        <x:v>Coverage and permissions</x:v>
      </x:c>
      <x:c r="H7" s="40" t="str">
        <x:v>All evidence families</x:v>
      </x:c>
      <x:c r="I7" s="40" t="str">
        <x:v>Human-required / readiness cap</x:v>
      </x:c>
      <x:c r="J7" s="40" t="str">
        <x:v>Research_Coverage</x:v>
      </x:c>
    </x:row>
    <x:row r="8" ht="42" customHeight="1">
      <x:c r="A8" t="str">
        <x:v>Run mode</x:v>
      </x:c>
      <x:c r="B8" s="34" t="str">
        <x:v>historical_train</x:v>
      </x:c>
      <x:c r="C8" t="str">
        <x:v>Yes</x:v>
      </x:c>
      <x:c r="D8" t="str">
        <x:v>historical_train / live_forecast / audit_only</x:v>
      </x:c>
      <x:c r="F8" s="40" t="str">
        <x:v>Products</x:v>
      </x:c>
      <x:c r="G8" s="40" t="str">
        <x:v>Units, ASP, mix, stage</x:v>
      </x:c>
      <x:c r="H8" s="40" t="str">
        <x:v>Product/customer evidence</x:v>
      </x:c>
      <x:c r="I8" s="40" t="str">
        <x:v>No generic CAGR</x:v>
      </x:c>
      <x:c r="J8" s="40" t="str">
        <x:v>Segments_Products</x:v>
      </x:c>
    </x:row>
    <x:row r="9" ht="42" customHeight="1">
      <x:c r="A9" t="str">
        <x:v>Phase</x:v>
      </x:c>
      <x:c r="B9" s="34" t="str">
        <x:v>forecast</x:v>
      </x:c>
      <x:c r="C9" t="str">
        <x:v>Yes</x:v>
      </x:c>
      <x:c r="D9" t="str">
        <x:v>Forecast must be sealed before Actual retrieval</x:v>
      </x:c>
      <x:c r="F9" s="40" t="str">
        <x:v>Demand</x:v>
      </x:c>
      <x:c r="G9" s="40" t="str">
        <x:v>Deployments/usage/share</x:v>
      </x:c>
      <x:c r="H9" s="40" t="str">
        <x:v>Customer and industry evidence</x:v>
      </x:c>
      <x:c r="I9" s="40" t="str">
        <x:v>Scenario if conversion unknown</x:v>
      </x:c>
      <x:c r="J9" s="40" t="str">
        <x:v>Customers_Demand</x:v>
      </x:c>
    </x:row>
    <x:row r="10" ht="42" customHeight="1">
      <x:c r="A10" t="str">
        <x:v>As of</x:v>
      </x:c>
      <x:c r="B10" s="34" t="n">
        <x:v>43861.99998842592</x:v>
      </x:c>
      <x:c r="C10" t="str">
        <x:v>Yes</x:v>
      </x:c>
      <x:c r="D10" t="str">
        <x:v>Executable source boundary in training mode</x:v>
      </x:c>
      <x:c r="F10" s="40" t="str">
        <x:v>Supply</x:v>
      </x:c>
      <x:c r="G10" s="40" t="str">
        <x:v>Capacity/utilization/yield</x:v>
      </x:c>
      <x:c r="H10" s="40" t="str">
        <x:v>Supplier/capacity evidence</x:v>
      </x:c>
      <x:c r="I10" s="40" t="str">
        <x:v>Revenue constrained by delivery</x:v>
      </x:c>
      <x:c r="J10" s="40" t="str">
        <x:v>Supply_Capacity</x:v>
      </x:c>
    </x:row>
    <x:row r="11" ht="42" customHeight="1">
      <x:c r="A11" t="str">
        <x:v>Fiscal year end</x:v>
      </x:c>
      <x:c r="B11" s="34" t="str">
        <x:v>December</x:v>
      </x:c>
      <x:c r="C11" t="str">
        <x:v>Yes</x:v>
      </x:c>
      <x:c r="D11" t="str">
        <x:v>Map every period to company fiscal calendar</x:v>
      </x:c>
      <x:c r="F11" s="40" t="str">
        <x:v>Technology</x:v>
      </x:c>
      <x:c r="G11" s="40" t="str">
        <x:v>Commercialization stage</x:v>
      </x:c>
      <x:c r="H11" s="40" t="str">
        <x:v>Papers/patents/standards</x:v>
      </x:c>
      <x:c r="I11" s="40" t="str">
        <x:v>No revenue before stage permission</x:v>
      </x:c>
      <x:c r="J11" s="40" t="str">
        <x:v>Technology_Stages</x:v>
      </x:c>
    </x:row>
    <x:row r="12" ht="42" customHeight="1">
      <x:c r="A12" t="str">
        <x:v>Currency / units</x:v>
      </x:c>
      <x:c r="B12" s="34" t="str">
        <x:v>USD $mm</x:v>
      </x:c>
      <x:c r="C12" t="str">
        <x:v>Yes</x:v>
      </x:c>
      <x:c r="D12" t="str">
        <x:v>All financial statements in $mm</x:v>
      </x:c>
      <x:c r="F12" s="40" t="str">
        <x:v>Quality</x:v>
      </x:c>
      <x:c r="G12" s="40" t="str">
        <x:v>Moat and management</x:v>
      </x:c>
      <x:c r="H12" s="40" t="str">
        <x:v>Execution/capital evidence</x:v>
      </x:c>
      <x:c r="I12" s="40" t="str">
        <x:v>Lower normalized durability</x:v>
      </x:c>
      <x:c r="J12" s="40" t="str">
        <x:v>Quality_Moat</x:v>
      </x:c>
    </x:row>
    <x:row r="13" ht="42" customHeight="1">
      <x:c r="A13" t="str">
        <x:v>Accounting basis</x:v>
      </x:c>
      <x:c r="B13" s="34" t="str">
        <x:v>GAAP</x:v>
      </x:c>
      <x:c r="C13" t="str">
        <x:v>Yes</x:v>
      </x:c>
      <x:c r="D13" t="str">
        <x:v>Show normalized bridge separately</x:v>
      </x:c>
      <x:c r="F13" s="40" t="str">
        <x:v>Financials</x:v>
      </x:c>
      <x:c r="G13" s="40" t="str">
        <x:v>Quarterly + five-year statements</x:v>
      </x:c>
      <x:c r="H13" s="40" t="str">
        <x:v>Linked assumptions</x:v>
      </x:c>
      <x:c r="I13" s="40" t="str">
        <x:v>GAAP and cash bridge</x:v>
      </x:c>
      <x:c r="J13" s="40" t="str">
        <x:v>Annual_P&amp;L / CF</x:v>
      </x:c>
    </x:row>
    <x:row r="14" ht="42" customHeight="1">
      <x:c r="A14" t="str">
        <x:v>Forecast years</x:v>
      </x:c>
      <x:c r="B14" s="34" t="n">
        <x:v>5</x:v>
      </x:c>
      <x:c r="C14" t="str">
        <x:v>Yes</x:v>
      </x:c>
      <x:c r="D14" t="str">
        <x:v>FY+1 through FY+5</x:v>
      </x:c>
      <x:c r="F14" s="40" t="str">
        <x:v>Valuation</x:v>
      </x:c>
      <x:c r="G14" s="40" t="str">
        <x:v>DCF/multiples/reverse model</x:v>
      </x:c>
      <x:c r="H14" s="40" t="str">
        <x:v>As-of market data</x:v>
      </x:c>
      <x:c r="I14" s="40" t="str">
        <x:v>Not scored if unavailable</x:v>
      </x:c>
      <x:c r="J14" s="40" t="str">
        <x:v>Valuation</x:v>
      </x:c>
    </x:row>
    <x:row r="15" ht="42" customHeight="1">
      <x:c r="A15" t="str">
        <x:v>Current price</x:v>
      </x:c>
      <x:c r="B15" s="36" t="n">
        <x:v>50</x:v>
      </x:c>
      <x:c r="C15" t="str">
        <x:v>Live/valuation</x:v>
      </x:c>
      <x:c r="D15" t="str">
        <x:v>Historical as-of price only in training</x:v>
      </x:c>
      <x:c r="F15" s="40"/>
      <x:c r="G15" s="40"/>
      <x:c r="H15" s="40"/>
      <x:c r="I15" s="40"/>
      <x:c r="J15" s="40"/>
    </x:row>
    <x:row r="16">
      <x:c r="A16" t="str">
        <x:v>Diluted shares (mm)</x:v>
      </x:c>
      <x:c r="B16" s="38" t="n">
        <x:v>100</x:v>
      </x:c>
      <x:c r="C16" t="str">
        <x:v>Yes</x:v>
      </x:c>
      <x:c r="D16" t="str">
        <x:v>Linked into EPS and equity value</x:v>
      </x:c>
    </x:row>
  </x:sheetData>
  <x:mergeCells>
    <x:mergeCell ref="A1:J1"/>
    <x:mergeCell ref="A2:J2"/>
    <x:mergeCell ref="A4:J4"/>
    <x:mergeCell ref="F4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20" hidden="0" customWidth="1"/>
    <x:col min="5" max="5" width="16" hidden="0" customWidth="1"/>
    <x:col min="6" max="6" width="9" hidden="0" customWidth="1"/>
    <x:col min="7" max="7" width="25" hidden="0" customWidth="1"/>
    <x:col min="8" max="8" width="15" hidden="0" customWidth="1"/>
    <x:col min="9" max="9" width="19" hidden="0" customWidth="1"/>
    <x:col min="10" max="10" width="10" hidden="0" customWidth="1"/>
    <x:col min="11" max="11" width="10" hidden="0" customWidth="1"/>
    <x:col min="12" max="12" width="48" hidden="0" customWidth="1"/>
    <x:col min="13" max="13" width="28" hidden="0" customWidth="1"/>
    <x:col min="14" max="14" width="48" hidden="0" customWidth="1"/>
  </x:cols>
  <x:sheetData>
    <x:row r="1" ht="28" customHeight="1">
      <x:c r="A1" s="4" t="str">
        <x:v>Source Pack</x:v>
      </x:c>
      <x:c r="B1" s="4" t="str">
        <x:v>Source Pack</x:v>
      </x:c>
      <x:c r="C1" s="4" t="str">
        <x:v>Source Pack</x:v>
      </x:c>
      <x:c r="D1" s="4" t="str">
        <x:v>Source Pack</x:v>
      </x:c>
      <x:c r="E1" s="4" t="str">
        <x:v>Source Pack</x:v>
      </x:c>
      <x:c r="F1" s="4" t="str">
        <x:v>Source Pack</x:v>
      </x:c>
      <x:c r="G1" s="4" t="str">
        <x:v>Source Pack</x:v>
      </x:c>
      <x:c r="H1" s="4" t="str">
        <x:v>Source Pack</x:v>
      </x:c>
      <x:c r="I1" s="4" t="str">
        <x:v>Source Pack</x:v>
      </x:c>
      <x:c r="J1" s="4" t="str">
        <x:v>Source Pack</x:v>
      </x:c>
      <x:c r="K1" s="4" t="str">
        <x:v>Source Pack</x:v>
      </x:c>
      <x:c r="L1" s="4" t="str">
        <x:v>Source Pack</x:v>
      </x:c>
      <x:c r="M1" s="4" t="str">
        <x:v>Source Pack</x:v>
      </x:c>
      <x:c r="N1" s="4" t="str">
        <x:v>Source Pack</x:v>
      </x:c>
    </x:row>
    <x:row r="2" ht="36" customHeight="1">
      <x:c r="A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B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C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D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E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F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G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H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I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J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K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L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M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  <x:c r="N2" s="11" t="str">
        <x:v>Populate with original filings, calls, product/customer evidence, independent research, papers/patents, management and news. In historical_train, only sources whose original publication/version date is at or before as_of may affect the forecast.</x:v>
      </x:c>
    </x:row>
    <x:row r="4" ht="28" customHeight="1">
      <x:c r="A4" s="26" t="str">
        <x:v>Source ID</x:v>
      </x:c>
      <x:c r="B4" s="26" t="str">
        <x:v>Family</x:v>
      </x:c>
      <x:c r="C4" s="26" t="str">
        <x:v>Publisher</x:v>
      </x:c>
      <x:c r="D4" s="26" t="str">
        <x:v>Published / Version At</x:v>
      </x:c>
      <x:c r="E4" s="26" t="str">
        <x:v>Retrieved At</x:v>
      </x:c>
      <x:c r="F4" s="26" t="str">
        <x:v>Tier</x:v>
      </x:c>
      <x:c r="G4" s="26" t="str">
        <x:v>Time Status</x:v>
      </x:c>
      <x:c r="H4" s="26" t="str">
        <x:v>Period</x:v>
      </x:c>
      <x:c r="I4" s="26" t="str">
        <x:v>Document Depth</x:v>
      </x:c>
      <x:c r="J4" s="26" t="str">
        <x:v>Words</x:v>
      </x:c>
      <x:c r="K4" s="26" t="str">
        <x:v>Anchors</x:v>
      </x:c>
      <x:c r="L4" s="26" t="str">
        <x:v>Claim / Fact</x:v>
      </x:c>
      <x:c r="M4" s="26" t="str">
        <x:v>Allowed Use</x:v>
      </x:c>
      <x:c r="N4" s="26" t="str">
        <x:v>URL / Location</x:v>
      </x:c>
    </x:row>
    <x:row r="5" ht="52" customHeight="1">
      <x:c r="A5" s="44" t="str">
        <x:v>SRC-FY0</x:v>
      </x:c>
      <x:c r="B5" s="44" t="str">
        <x:v>official_filings</x:v>
      </x:c>
      <x:c r="C5" s="44" t="str">
        <x:v>Issuer</x:v>
      </x:c>
      <x:c r="D5" s="45" t="str">
        <x:v>2020-01-30</x:v>
      </x:c>
      <x:c r="E5" s="45" t="str">
        <x:v>2026-07-19</x:v>
      </x:c>
      <x:c r="F5" s="44" t="str">
        <x:v>E0</x:v>
      </x:c>
      <x:c r="G5" s="44" t="str">
        <x:v>eligible_pre_cutoff</x:v>
      </x:c>
      <x:c r="H5" s="44" t="str">
        <x:v>FY0</x:v>
      </x:c>
      <x:c r="I5" s="44" t="str">
        <x:v>full_document</x:v>
      </x:c>
      <x:c r="J5" s="44" t="n">
        <x:v>25000</x:v>
      </x:c>
      <x:c r="K5" s="44" t="n">
        <x:v>40</x:v>
      </x:c>
      <x:c r="L5" s="44" t="str">
        <x:v>Historical financials and accounting notes</x:v>
      </x:c>
      <x:c r="M5" s="44" t="str">
        <x:v>historical/base</x:v>
      </x:c>
      <x:c r="N5" s="44" t="str">
        <x:v>https://example.com/filing</x:v>
      </x:c>
    </x:row>
    <x:row r="6" ht="52" customHeight="1">
      <x:c r="A6" s="44" t="str">
        <x:v>SRC-CALL</x:v>
      </x:c>
      <x:c r="B6" s="44" t="str">
        <x:v>formal_investor_dialogue</x:v>
      </x:c>
      <x:c r="C6" s="44" t="str">
        <x:v>Issuer</x:v>
      </x:c>
      <x:c r="D6" s="45" t="str">
        <x:v>2020-01-30</x:v>
      </x:c>
      <x:c r="E6" s="45" t="str">
        <x:v>2026-07-19</x:v>
      </x:c>
      <x:c r="F6" s="44" t="str">
        <x:v>E1</x:v>
      </x:c>
      <x:c r="G6" s="44" t="str">
        <x:v>eligible_pre_cutoff</x:v>
      </x:c>
      <x:c r="H6" s="44" t="str">
        <x:v>FY0/FY+1</x:v>
      </x:c>
      <x:c r="I6" s="44" t="str">
        <x:v>full_transcript</x:v>
      </x:c>
      <x:c r="J6" s="44" t="n">
        <x:v>12000</x:v>
      </x:c>
      <x:c r="K6" s="44" t="n">
        <x:v>25</x:v>
      </x:c>
      <x:c r="L6" s="44" t="str">
        <x:v>Guidance, customer, product and margin discussion</x:v>
      </x:c>
      <x:c r="M6" s="44" t="str">
        <x:v>base/timing</x:v>
      </x:c>
      <x:c r="N6" s="44" t="str">
        <x:v>https://example.com/call</x:v>
      </x:c>
    </x:row>
    <x:row r="7" ht="52" customHeight="1">
      <x:c r="A7" s="44" t="str">
        <x:v>SRC-IND</x:v>
      </x:c>
      <x:c r="B7" s="44" t="str">
        <x:v>independent_industry_research</x:v>
      </x:c>
      <x:c r="C7" s="44" t="str">
        <x:v>Researcher</x:v>
      </x:c>
      <x:c r="D7" s="45" t="str">
        <x:v>2020-01-15</x:v>
      </x:c>
      <x:c r="E7" s="45" t="str">
        <x:v>2026-07-19</x:v>
      </x:c>
      <x:c r="F7" s="44" t="str">
        <x:v>E3</x:v>
      </x:c>
      <x:c r="G7" s="44" t="str">
        <x:v>eligible_pre_cutoff</x:v>
      </x:c>
      <x:c r="H7" s="44" t="str">
        <x:v>FY+1</x:v>
      </x:c>
      <x:c r="I7" s="44" t="str">
        <x:v>substantial_extract</x:v>
      </x:c>
      <x:c r="J7" s="44" t="n">
        <x:v>4000</x:v>
      </x:c>
      <x:c r="K7" s="44" t="n">
        <x:v>8</x:v>
      </x:c>
      <x:c r="L7" s="44" t="str">
        <x:v>Measured industry demand/inventory/pricing</x:v>
      </x:c>
      <x:c r="M7" s="44" t="str">
        <x:v>scenario/base after corroboration</x:v>
      </x:c>
      <x:c r="N7" s="44" t="str">
        <x:v>https://example.com/research</x:v>
      </x:c>
    </x:row>
    <x:row r="8" ht="52" customHeight="1">
      <x:c r="A8" s="44" t="str">
        <x:v>SRC-PAPER</x:v>
      </x:c>
      <x:c r="B8" s="44" t="str">
        <x:v>technical_paper_standard</x:v>
      </x:c>
      <x:c r="C8" s="44" t="str">
        <x:v>Authors</x:v>
      </x:c>
      <x:c r="D8" s="45" t="str">
        <x:v>2019-09-01</x:v>
      </x:c>
      <x:c r="E8" s="45" t="str">
        <x:v>2026-07-19</x:v>
      </x:c>
      <x:c r="F8" s="44" t="str">
        <x:v>E2</x:v>
      </x:c>
      <x:c r="G8" s="44" t="str">
        <x:v>eligible_pre_cutoff</x:v>
      </x:c>
      <x:c r="H8" s="44" t="str">
        <x:v>Long term</x:v>
      </x:c>
      <x:c r="I8" s="44" t="str">
        <x:v>paper</x:v>
      </x:c>
      <x:c r="J8" s="44" t="n">
        <x:v>8000</x:v>
      </x:c>
      <x:c r="K8" s="44" t="n">
        <x:v>10</x:v>
      </x:c>
      <x:c r="L8" s="44" t="str">
        <x:v>Technical feasibility and bottleneck</x:v>
      </x:c>
      <x:c r="M8" s="44" t="str">
        <x:v>technical bound / regime tail</x:v>
      </x:c>
      <x:c r="N8" s="44" t="str">
        <x:v>https://example.com/paper</x:v>
      </x:c>
    </x:row>
    <x:row r="9" ht="52" customHeight="1">
      <x:c r="A9" s="44" t="str">
        <x:v>SRC-FUT</x:v>
      </x:c>
      <x:c r="B9" s="44" t="str">
        <x:v>news_media</x:v>
      </x:c>
      <x:c r="C9" s="44" t="str">
        <x:v>Media</x:v>
      </x:c>
      <x:c r="D9" s="45" t="str">
        <x:v>2020-03-01</x:v>
      </x:c>
      <x:c r="E9" s="45" t="str">
        <x:v>2026-07-19</x:v>
      </x:c>
      <x:c r="F9" s="44" t="str">
        <x:v>E4</x:v>
      </x:c>
      <x:c r="G9" s="44" t="str">
        <x:v>quarantined_post_cutoff</x:v>
      </x:c>
      <x:c r="H9" s="44" t="str">
        <x:v>Future</x:v>
      </x:c>
      <x:c r="I9" s="44" t="str">
        <x:v>article</x:v>
      </x:c>
      <x:c r="J9" s="44" t="n">
        <x:v>1000</x:v>
      </x:c>
      <x:c r="K9" s="44" t="n">
        <x:v>2</x:v>
      </x:c>
      <x:c r="L9" s="44" t="str">
        <x:v>Example future article</x:v>
      </x:c>
      <x:c r="M9" s="44" t="str">
        <x:v>quarantine</x:v>
      </x:c>
      <x:c r="N9" s="44" t="str">
        <x:v>https://example.com/future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31" hidden="0" customWidth="1"/>
    <x:col min="5" max="5" width="42" hidden="0" customWidth="1"/>
    <x:col min="6" max="6" width="29" hidden="0" customWidth="1"/>
    <x:col min="7" max="7" width="35" hidden="0" customWidth="1"/>
    <x:col min="8" max="8" width="20" hidden="0" customWidth="1"/>
    <x:col min="9" max="9" width="18" hidden="0" customWidth="1"/>
    <x:col min="10" max="10" width="32" hidden="0" customWidth="1"/>
  </x:cols>
  <x:sheetData>
    <x:row r="1" ht="28" customHeight="1">
      <x:c r="A1" s="4" t="str">
        <x:v>Research Coverage and Readiness</x:v>
      </x:c>
      <x:c r="B1" s="4" t="str">
        <x:v>Research Coverage and Readiness</x:v>
      </x:c>
      <x:c r="C1" s="4" t="str">
        <x:v>Research Coverage and Readiness</x:v>
      </x:c>
      <x:c r="D1" s="4" t="str">
        <x:v>Research Coverage and Readiness</x:v>
      </x:c>
      <x:c r="E1" s="4" t="str">
        <x:v>Research Coverage and Readiness</x:v>
      </x:c>
      <x:c r="F1" s="4" t="str">
        <x:v>Research Coverage and Readiness</x:v>
      </x:c>
      <x:c r="G1" s="4" t="str">
        <x:v>Research Coverage and Readiness</x:v>
      </x:c>
      <x:c r="H1" s="4" t="str">
        <x:v>Research Coverage and Readiness</x:v>
      </x:c>
      <x:c r="I1" s="4" t="str">
        <x:v>Research Coverage and Readiness</x:v>
      </x:c>
      <x:c r="J1" s="4" t="str">
        <x:v>Research Coverage and Readiness</x:v>
      </x:c>
    </x:row>
    <x:row r="2" ht="36" customHeight="1">
      <x:c r="A2" s="11" t="str">
        <x:v>Every topic must be accepted, searched without a qualified source, not material with reason, or unavailable. Missing conclusion-critical coverage caps forecast readiness.</x:v>
      </x:c>
      <x:c r="B2" s="11" t="str">
        <x:v>Every topic must be accepted, searched without a qualified source, not material with reason, or unavailable. Missing conclusion-critical coverage caps forecast readiness.</x:v>
      </x:c>
      <x:c r="C2" s="11" t="str">
        <x:v>Every topic must be accepted, searched without a qualified source, not material with reason, or unavailable. Missing conclusion-critical coverage caps forecast readiness.</x:v>
      </x:c>
      <x:c r="D2" s="11" t="str">
        <x:v>Every topic must be accepted, searched without a qualified source, not material with reason, or unavailable. Missing conclusion-critical coverage caps forecast readiness.</x:v>
      </x:c>
      <x:c r="E2" s="11" t="str">
        <x:v>Every topic must be accepted, searched without a qualified source, not material with reason, or unavailable. Missing conclusion-critical coverage caps forecast readiness.</x:v>
      </x:c>
      <x:c r="F2" s="11" t="str">
        <x:v>Every topic must be accepted, searched without a qualified source, not material with reason, or unavailable. Missing conclusion-critical coverage caps forecast readiness.</x:v>
      </x:c>
      <x:c r="G2" s="11" t="str">
        <x:v>Every topic must be accepted, searched without a qualified source, not material with reason, or unavailable. Missing conclusion-critical coverage caps forecast readiness.</x:v>
      </x:c>
      <x:c r="H2" s="11" t="str">
        <x:v>Every topic must be accepted, searched without a qualified source, not material with reason, or unavailable. Missing conclusion-critical coverage caps forecast readiness.</x:v>
      </x:c>
      <x:c r="I2" s="11" t="str">
        <x:v>Every topic must be accepted, searched without a qualified source, not material with reason, or unavailable. Missing conclusion-critical coverage caps forecast readiness.</x:v>
      </x:c>
      <x:c r="J2" s="11" t="str">
        <x:v>Every topic must be accepted, searched without a qualified source, not material with reason, or unavailable. Missing conclusion-critical coverage caps forecast readiness.</x:v>
      </x:c>
    </x:row>
    <x:row r="4" ht="28" customHeight="1">
      <x:c r="A4" s="26" t="str">
        <x:v>Topic</x:v>
      </x:c>
      <x:c r="B4" s="26" t="str">
        <x:v>Status</x:v>
      </x:c>
      <x:c r="C4" s="26" t="str">
        <x:v>Source IDs</x:v>
      </x:c>
      <x:c r="D4" s="26" t="str">
        <x:v>Minimum evidence</x:v>
      </x:c>
      <x:c r="E4" s="26" t="str">
        <x:v>Key conclusion</x:v>
      </x:c>
      <x:c r="F4" s="26" t="str">
        <x:v>Financial permission</x:v>
      </x:c>
      <x:c r="G4" s="26" t="str">
        <x:v>Unknowns</x:v>
      </x:c>
      <x:c r="H4" s="26" t="str">
        <x:v>Readiness cap</x:v>
      </x:c>
      <x:c r="I4" s="26" t="str">
        <x:v>Reviewer</x:v>
      </x:c>
      <x:c r="J4" s="26" t="str">
        <x:v>Next evidence</x:v>
      </x:c>
    </x:row>
    <x:row r="5" ht="46" customHeight="1">
      <x:c r="A5" s="40" t="str">
        <x:v>Historical financials and vintage</x:v>
      </x:c>
      <x:c r="B5" s="44" t="str">
        <x:v>pending</x:v>
      </x:c>
      <x:c r="C5" s="44" t="str"/>
      <x:c r="D5" s="44" t="str">
        <x:v>Substantial original evidence</x:v>
      </x:c>
      <x:c r="E5" s="44" t="str"/>
      <x:c r="F5" s="44" t="str"/>
      <x:c r="G5" s="44" t="str"/>
      <x:c r="H5" s="44" t="str">
        <x:v>not-decision-ready</x:v>
      </x:c>
      <x:c r="I5" s="44" t="str">
        <x:v>GPTPro</x:v>
      </x:c>
      <x:c r="J5" s="44" t="str"/>
    </x:row>
    <x:row r="6" ht="46" customHeight="1">
      <x:c r="A6" s="40" t="str">
        <x:v>Current quarter and guidance</x:v>
      </x:c>
      <x:c r="B6" s="44" t="str">
        <x:v>pending</x:v>
      </x:c>
      <x:c r="C6" s="44" t="str"/>
      <x:c r="D6" s="44" t="str">
        <x:v>Substantial original evidence</x:v>
      </x:c>
      <x:c r="E6" s="44" t="str"/>
      <x:c r="F6" s="44" t="str"/>
      <x:c r="G6" s="44" t="str"/>
      <x:c r="H6" s="44" t="str">
        <x:v>not-decision-ready</x:v>
      </x:c>
      <x:c r="I6" s="44" t="str">
        <x:v>GPTPro</x:v>
      </x:c>
      <x:c r="J6" s="44" t="str"/>
    </x:row>
    <x:row r="7" ht="46" customHeight="1">
      <x:c r="A7" s="40" t="str">
        <x:v>Products and revenue units</x:v>
      </x:c>
      <x:c r="B7" s="44" t="str">
        <x:v>pending</x:v>
      </x:c>
      <x:c r="C7" s="44" t="str"/>
      <x:c r="D7" s="44" t="str">
        <x:v>Substantial original evidence</x:v>
      </x:c>
      <x:c r="E7" s="44" t="str"/>
      <x:c r="F7" s="44" t="str"/>
      <x:c r="G7" s="44" t="str"/>
      <x:c r="H7" s="44" t="str">
        <x:v>not-decision-ready</x:v>
      </x:c>
      <x:c r="I7" s="44" t="str">
        <x:v>GPTPro</x:v>
      </x:c>
      <x:c r="J7" s="44" t="str"/>
    </x:row>
    <x:row r="8" ht="46" customHeight="1">
      <x:c r="A8" s="40" t="str">
        <x:v>Customers, channel and demand</x:v>
      </x:c>
      <x:c r="B8" s="44" t="str">
        <x:v>pending</x:v>
      </x:c>
      <x:c r="C8" s="44" t="str"/>
      <x:c r="D8" s="44" t="str">
        <x:v>Substantial original evidence</x:v>
      </x:c>
      <x:c r="E8" s="44" t="str"/>
      <x:c r="F8" s="44" t="str"/>
      <x:c r="G8" s="44" t="str"/>
      <x:c r="H8" s="44" t="str">
        <x:v>not-decision-ready</x:v>
      </x:c>
      <x:c r="I8" s="44" t="str">
        <x:v>GPTPro</x:v>
      </x:c>
      <x:c r="J8" s="44" t="str"/>
    </x:row>
    <x:row r="9" ht="46" customHeight="1">
      <x:c r="A9" s="40" t="str">
        <x:v>Competition and market structure</x:v>
      </x:c>
      <x:c r="B9" s="44" t="str">
        <x:v>pending</x:v>
      </x:c>
      <x:c r="C9" s="44" t="str"/>
      <x:c r="D9" s="44" t="str">
        <x:v>Substantial original evidence</x:v>
      </x:c>
      <x:c r="E9" s="44" t="str"/>
      <x:c r="F9" s="44" t="str"/>
      <x:c r="G9" s="44" t="str"/>
      <x:c r="H9" s="44" t="str">
        <x:v>not-decision-ready</x:v>
      </x:c>
      <x:c r="I9" s="44" t="str">
        <x:v>GPTPro</x:v>
      </x:c>
      <x:c r="J9" s="44" t="str"/>
    </x:row>
    <x:row r="10" ht="46" customHeight="1">
      <x:c r="A10" s="40" t="str">
        <x:v>Supply, capacity and cost</x:v>
      </x:c>
      <x:c r="B10" s="44" t="str">
        <x:v>pending</x:v>
      </x:c>
      <x:c r="C10" s="44" t="str"/>
      <x:c r="D10" s="44" t="str">
        <x:v>Substantial original evidence</x:v>
      </x:c>
      <x:c r="E10" s="44" t="str"/>
      <x:c r="F10" s="44" t="str"/>
      <x:c r="G10" s="44" t="str"/>
      <x:c r="H10" s="44" t="str">
        <x:v>not-decision-ready</x:v>
      </x:c>
      <x:c r="I10" s="44" t="str">
        <x:v>GPTPro</x:v>
      </x:c>
      <x:c r="J10" s="44" t="str"/>
    </x:row>
    <x:row r="11" ht="46" customHeight="1">
      <x:c r="A11" s="40" t="str">
        <x:v>Technology roadmap / papers / patents</x:v>
      </x:c>
      <x:c r="B11" s="44" t="str">
        <x:v>pending</x:v>
      </x:c>
      <x:c r="C11" s="44" t="str"/>
      <x:c r="D11" s="44" t="str">
        <x:v>Substantial original evidence</x:v>
      </x:c>
      <x:c r="E11" s="44" t="str"/>
      <x:c r="F11" s="44" t="str"/>
      <x:c r="G11" s="44" t="str"/>
      <x:c r="H11" s="44" t="str">
        <x:v>not-decision-ready</x:v>
      </x:c>
      <x:c r="I11" s="44" t="str">
        <x:v>GPTPro</x:v>
      </x:c>
      <x:c r="J11" s="44" t="str"/>
    </x:row>
    <x:row r="12" ht="46" customHeight="1">
      <x:c r="A12" s="40" t="str">
        <x:v>Management, governance and capital allocation</x:v>
      </x:c>
      <x:c r="B12" s="44" t="str">
        <x:v>pending</x:v>
      </x:c>
      <x:c r="C12" s="44" t="str"/>
      <x:c r="D12" s="44" t="str">
        <x:v>Substantial original evidence</x:v>
      </x:c>
      <x:c r="E12" s="44" t="str"/>
      <x:c r="F12" s="44" t="str"/>
      <x:c r="G12" s="44" t="str"/>
      <x:c r="H12" s="44" t="str">
        <x:v>not-decision-ready</x:v>
      </x:c>
      <x:c r="I12" s="44" t="str">
        <x:v>GPTPro</x:v>
      </x:c>
      <x:c r="J12" s="44" t="str"/>
    </x:row>
    <x:row r="13" ht="46" customHeight="1">
      <x:c r="A13" s="40" t="str">
        <x:v>Company quality and moat</x:v>
      </x:c>
      <x:c r="B13" s="44" t="str">
        <x:v>pending</x:v>
      </x:c>
      <x:c r="C13" s="44" t="str"/>
      <x:c r="D13" s="44" t="str">
        <x:v>Substantial original evidence</x:v>
      </x:c>
      <x:c r="E13" s="44" t="str"/>
      <x:c r="F13" s="44" t="str"/>
      <x:c r="G13" s="44" t="str"/>
      <x:c r="H13" s="44" t="str">
        <x:v>not-decision-ready</x:v>
      </x:c>
      <x:c r="I13" s="44" t="str">
        <x:v>GPTPro</x:v>
      </x:c>
      <x:c r="J13" s="44" t="str"/>
    </x:row>
    <x:row r="14" ht="46" customHeight="1">
      <x:c r="A14" s="40" t="str">
        <x:v>Balance sheet and economic capital</x:v>
      </x:c>
      <x:c r="B14" s="44" t="str">
        <x:v>pending</x:v>
      </x:c>
      <x:c r="C14" s="44" t="str"/>
      <x:c r="D14" s="44" t="str">
        <x:v>Substantial original evidence</x:v>
      </x:c>
      <x:c r="E14" s="44" t="str"/>
      <x:c r="F14" s="44" t="str"/>
      <x:c r="G14" s="44" t="str"/>
      <x:c r="H14" s="44" t="str">
        <x:v>not-decision-ready</x:v>
      </x:c>
      <x:c r="I14" s="44" t="str">
        <x:v>GPTPro</x:v>
      </x:c>
      <x:c r="J14" s="44" t="str"/>
    </x:row>
    <x:row r="15" ht="46" customHeight="1">
      <x:c r="A15" s="40" t="str">
        <x:v>Industry / policy / macro</x:v>
      </x:c>
      <x:c r="B15" s="44" t="str">
        <x:v>pending</x:v>
      </x:c>
      <x:c r="C15" s="44" t="str"/>
      <x:c r="D15" s="44" t="str">
        <x:v>Substantial original evidence</x:v>
      </x:c>
      <x:c r="E15" s="44" t="str"/>
      <x:c r="F15" s="44" t="str"/>
      <x:c r="G15" s="44" t="str"/>
      <x:c r="H15" s="44" t="str">
        <x:v>not-decision-ready</x:v>
      </x:c>
      <x:c r="I15" s="44" t="str">
        <x:v>GPTPro</x:v>
      </x:c>
      <x:c r="J15" s="44" t="str"/>
    </x:row>
    <x:row r="16" ht="46" customHeight="1">
      <x:c r="A16" s="40" t="str">
        <x:v>News and event timeline</x:v>
      </x:c>
      <x:c r="B16" s="44" t="str">
        <x:v>pending</x:v>
      </x:c>
      <x:c r="C16" s="44" t="str"/>
      <x:c r="D16" s="44" t="str">
        <x:v>Substantial original evidence</x:v>
      </x:c>
      <x:c r="E16" s="44" t="str"/>
      <x:c r="F16" s="44" t="str"/>
      <x:c r="G16" s="44" t="str"/>
      <x:c r="H16" s="44" t="str">
        <x:v>not-decision-ready</x:v>
      </x:c>
      <x:c r="I16" s="44" t="str">
        <x:v>GPTPro</x:v>
      </x:c>
      <x:c r="J16" s="44" t="str"/>
    </x:row>
    <x:row r="17" ht="46" customHeight="1">
      <x:c r="A17" s="40" t="str">
        <x:v>Valuation and reverse implied</x:v>
      </x:c>
      <x:c r="B17" s="44" t="str">
        <x:v>pending</x:v>
      </x:c>
      <x:c r="C17" s="44" t="str"/>
      <x:c r="D17" s="44" t="str">
        <x:v>Substantial original evidence</x:v>
      </x:c>
      <x:c r="E17" s="44" t="str"/>
      <x:c r="F17" s="44" t="str"/>
      <x:c r="G17" s="44" t="str"/>
      <x:c r="H17" s="44" t="str">
        <x:v>not-decision-ready</x:v>
      </x:c>
      <x:c r="I17" s="44" t="str">
        <x:v>GPTPro</x:v>
      </x:c>
      <x:c r="J17" s="44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5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8" customHeight="1">
      <x:c r="A1" s="4" t="str">
        <x:v>Historical Financials and Accounting Vintage</x:v>
      </x:c>
      <x:c r="B1" s="4" t="str">
        <x:v>Historical Financials and Accounting Vintage</x:v>
      </x:c>
      <x:c r="C1" s="4" t="str">
        <x:v>Historical Financials and Accounting Vintage</x:v>
      </x:c>
      <x:c r="D1" s="4" t="str">
        <x:v>Historical Financials and Accounting Vintage</x:v>
      </x:c>
      <x:c r="E1" s="4" t="str">
        <x:v>Historical Financials and Accounting Vintage</x:v>
      </x:c>
      <x:c r="F1" s="4" t="str">
        <x:v>Historical Financials and Accounting Vintage</x:v>
      </x:c>
      <x:c r="G1" s="4" t="str">
        <x:v>Historical Financials and Accounting Vintage</x:v>
      </x:c>
      <x:c r="H1" s="4" t="str">
        <x:v>Historical Financials and Accounting Vintage</x:v>
      </x:c>
      <x:c r="I1" s="4" t="str">
        <x:v>Historical Financials and Accounting Vintage</x:v>
      </x:c>
    </x:row>
    <x:row r="2" ht="36" customHeight="1">
      <x:c r="A2" s="11" t="str">
        <x:v>Illustrative historicals. Replace with at least three fiscal years and retain the figures available at the as_of date separately from later recasts.</x:v>
      </x:c>
      <x:c r="B2" s="11" t="str">
        <x:v>Illustrative historicals. Replace with at least three fiscal years and retain the figures available at the as_of date separately from later recasts.</x:v>
      </x:c>
      <x:c r="C2" s="11" t="str">
        <x:v>Illustrative historicals. Replace with at least three fiscal years and retain the figures available at the as_of date separately from later recasts.</x:v>
      </x:c>
      <x:c r="D2" s="11" t="str">
        <x:v>Illustrative historicals. Replace with at least three fiscal years and retain the figures available at the as_of date separately from later recasts.</x:v>
      </x:c>
      <x:c r="E2" s="11" t="str">
        <x:v>Illustrative historicals. Replace with at least three fiscal years and retain the figures available at the as_of date separately from later recasts.</x:v>
      </x:c>
      <x:c r="F2" s="11" t="str">
        <x:v>Illustrative historicals. Replace with at least three fiscal years and retain the figures available at the as_of date separately from later recasts.</x:v>
      </x:c>
      <x:c r="G2" s="11" t="str">
        <x:v>Illustrative historicals. Replace with at least three fiscal years and retain the figures available at the as_of date separately from later recasts.</x:v>
      </x:c>
      <x:c r="H2" s="11" t="str">
        <x:v>Illustrative historicals. Replace with at least three fiscal years and retain the figures available at the as_of date separately from later recasts.</x:v>
      </x:c>
      <x:c r="I2" s="11" t="str">
        <x:v>Illustrative historicals. Replace with at least three fiscal years and retain the figures available at the as_of date separately from later recasts.</x:v>
      </x:c>
    </x:row>
    <x:row r="4" ht="21" customHeight="1">
      <x:c r="A4" s="26" t="str">
        <x:v>$mm except per-share</x:v>
      </x:c>
      <x:c r="B4" s="26" t="str">
        <x:v>FY-2</x:v>
      </x:c>
      <x:c r="C4" s="26" t="str">
        <x:v>FY-1</x:v>
      </x:c>
      <x:c r="D4" s="26" t="str">
        <x:v>FY0</x:v>
      </x:c>
      <x:c r="F4" s="18" t="str">
        <x:v>Historical quality and bridge</x:v>
      </x:c>
      <x:c r="G4" s="18" t="str">
        <x:v>Historical quality and bridge</x:v>
      </x:c>
      <x:c r="H4" s="18" t="str">
        <x:v>Historical quality and bridge</x:v>
      </x:c>
      <x:c r="I4" s="18" t="str">
        <x:v>Historical quality and bridge</x:v>
      </x:c>
    </x:row>
    <x:row r="5" ht="28" customHeight="1">
      <x:c r="A5" t="str">
        <x:v>Revenue</x:v>
      </x:c>
      <x:c r="B5" s="48" t="n">
        <x:v>800</x:v>
      </x:c>
      <x:c r="C5" s="48" t="n">
        <x:v>950</x:v>
      </x:c>
      <x:c r="D5" s="48" t="n">
        <x:v>1120</x:v>
      </x:c>
      <x:c r="F5" s="26" t="str">
        <x:v>Metric</x:v>
      </x:c>
      <x:c r="G5" s="26" t="str">
        <x:v>FY-2</x:v>
      </x:c>
      <x:c r="H5" s="26" t="str">
        <x:v>FY-1</x:v>
      </x:c>
      <x:c r="I5" s="26" t="str">
        <x:v>FY0</x:v>
      </x:c>
    </x:row>
    <x:row r="6">
      <x:c r="A6" t="str">
        <x:v>COGS</x:v>
      </x:c>
      <x:c r="B6" s="48" t="n">
        <x:v>420</x:v>
      </x:c>
      <x:c r="C6" s="48" t="n">
        <x:v>490</x:v>
      </x:c>
      <x:c r="D6" s="48" t="n">
        <x:v>560</x:v>
      </x:c>
      <x:c r="F6" t="str">
        <x:v>Revenue growth</x:v>
      </x:c>
      <x:c r="G6" s="50"/>
      <x:c r="H6" s="50" t="n">
        <x:f>C5/B5-1</x:f>
        <x:v>0.1875</x:v>
      </x:c>
      <x:c r="I6" s="50" t="n">
        <x:f>D5/C5-1</x:f>
        <x:v>0.17894736842105252</x:v>
      </x:c>
    </x:row>
    <x:row r="7">
      <x:c r="A7" t="str">
        <x:v>Gross Profit</x:v>
      </x:c>
      <x:c r="B7" s="48" t="n">
        <x:v>380</x:v>
      </x:c>
      <x:c r="C7" s="48" t="n">
        <x:v>460</x:v>
      </x:c>
      <x:c r="D7" s="48" t="n">
        <x:v>560</x:v>
      </x:c>
      <x:c r="F7" t="str">
        <x:v>Gross margin</x:v>
      </x:c>
      <x:c r="G7" s="50" t="n">
        <x:f>B7/B5</x:f>
        <x:v>0.475</x:v>
      </x:c>
      <x:c r="H7" s="50" t="n">
        <x:f>C7/C5</x:f>
        <x:v>0.4842105263157895</x:v>
      </x:c>
      <x:c r="I7" s="50" t="n">
        <x:f>D7/D5</x:f>
        <x:v>0.5</x:v>
      </x:c>
    </x:row>
    <x:row r="8">
      <x:c r="A8" t="str">
        <x:v>R&amp;D</x:v>
      </x:c>
      <x:c r="B8" s="48" t="n">
        <x:v>110</x:v>
      </x:c>
      <x:c r="C8" s="48" t="n">
        <x:v>125</x:v>
      </x:c>
      <x:c r="D8" s="48" t="n">
        <x:v>145</x:v>
      </x:c>
      <x:c r="F8" t="str">
        <x:v>Operating margin</x:v>
      </x:c>
      <x:c r="G8" s="50" t="n">
        <x:f>B11/B5</x:f>
        <x:v>0.13125</x:v>
      </x:c>
      <x:c r="H8" s="50" t="n">
        <x:f>C11/C5</x:f>
        <x:v>0.1631578947368421</x:v>
      </x:c>
      <x:c r="I8" s="50" t="n">
        <x:f>D11/D5</x:f>
        <x:v>0.18928571428571428</x:v>
      </x:c>
    </x:row>
    <x:row r="9">
      <x:c r="A9" t="str">
        <x:v>Sales &amp; Marketing</x:v>
      </x:c>
      <x:c r="B9" s="48" t="n">
        <x:v>90</x:v>
      </x:c>
      <x:c r="C9" s="48" t="n">
        <x:v>100</x:v>
      </x:c>
      <x:c r="D9" s="48" t="n">
        <x:v>115</x:v>
      </x:c>
      <x:c r="F9" t="str">
        <x:v>Net margin</x:v>
      </x:c>
      <x:c r="G9" s="50" t="n">
        <x:f>B15/B5</x:f>
        <x:v>0.1125</x:v>
      </x:c>
      <x:c r="H9" s="50" t="n">
        <x:f>C15/C5</x:f>
        <x:v>0.13789473684210526</x:v>
      </x:c>
      <x:c r="I9" s="50" t="n">
        <x:f>D15/D5</x:f>
        <x:v>0.15803571428571428</x:v>
      </x:c>
    </x:row>
    <x:row r="10">
      <x:c r="A10" t="str">
        <x:v>G&amp;A</x:v>
      </x:c>
      <x:c r="B10" s="48" t="n">
        <x:v>75</x:v>
      </x:c>
      <x:c r="C10" s="48" t="n">
        <x:v>80</x:v>
      </x:c>
      <x:c r="D10" s="48" t="n">
        <x:v>88</x:v>
      </x:c>
      <x:c r="F10" t="str">
        <x:v>DSO</x:v>
      </x:c>
      <x:c r="G10" s="52" t="n">
        <x:f>B19/B5*365</x:f>
        <x:v>59.3125</x:v>
      </x:c>
      <x:c r="H10" s="52" t="n">
        <x:f>C19/C5*365</x:f>
        <x:v>59.55263157894737</x:v>
      </x:c>
      <x:c r="I10" s="52" t="n">
        <x:f>D19/D5*365</x:f>
        <x:v>61.91964285714286</x:v>
      </x:c>
    </x:row>
    <x:row r="11">
      <x:c r="A11" t="str">
        <x:v>Operating Income</x:v>
      </x:c>
      <x:c r="B11" s="48" t="n">
        <x:v>105</x:v>
      </x:c>
      <x:c r="C11" s="48" t="n">
        <x:v>155</x:v>
      </x:c>
      <x:c r="D11" s="48" t="n">
        <x:v>212</x:v>
      </x:c>
      <x:c r="F11" t="str">
        <x:v>DIO</x:v>
      </x:c>
      <x:c r="G11" s="52" t="n">
        <x:f>B20/B6*365</x:f>
        <x:v>82.55952380952381</x:v>
      </x:c>
      <x:c r="H11" s="52" t="n">
        <x:f>C20/C6*365</x:f>
        <x:v>78.21428571428571</x:v>
      </x:c>
      <x:c r="I11" s="52" t="n">
        <x:f>D20/D6*365</x:f>
        <x:v>81.47321428571429</x:v>
      </x:c>
    </x:row>
    <x:row r="12">
      <x:c r="A12" t="str">
        <x:v>Other Income / (Expense)</x:v>
      </x:c>
      <x:c r="B12" s="48" t="n">
        <x:v>5</x:v>
      </x:c>
      <x:c r="C12" s="48" t="n">
        <x:v>4</x:v>
      </x:c>
      <x:c r="D12" s="48" t="n">
        <x:v>3</x:v>
      </x:c>
      <x:c r="F12" t="str">
        <x:v>DPO</x:v>
      </x:c>
      <x:c r="G12" s="52" t="n">
        <x:f>B21/B6*365</x:f>
        <x:v>69.52380952380952</x:v>
      </x:c>
      <x:c r="H12" s="52" t="n">
        <x:f>C21/C6*365</x:f>
        <x:v>67.04081632653062</x:v>
      </x:c>
      <x:c r="I12" s="52" t="n">
        <x:f>D21/D6*365</x:f>
        <x:v>68.4375</x:v>
      </x:c>
    </x:row>
    <x:row r="13">
      <x:c r="A13" t="str">
        <x:v>Pre-tax Income</x:v>
      </x:c>
      <x:c r="B13" s="48" t="n">
        <x:v>110</x:v>
      </x:c>
      <x:c r="C13" s="48" t="n">
        <x:v>159</x:v>
      </x:c>
      <x:c r="D13" s="48" t="n">
        <x:v>215</x:v>
      </x:c>
    </x:row>
    <x:row r="14">
      <x:c r="A14" t="str">
        <x:v>Tax</x:v>
      </x:c>
      <x:c r="B14" s="48" t="n">
        <x:v>20</x:v>
      </x:c>
      <x:c r="C14" s="48" t="n">
        <x:v>28</x:v>
      </x:c>
      <x:c r="D14" s="48" t="n">
        <x:v>38</x:v>
      </x:c>
    </x:row>
    <x:row r="15">
      <x:c r="A15" t="str">
        <x:v>Net Income</x:v>
      </x:c>
      <x:c r="B15" s="48" t="n">
        <x:v>90</x:v>
      </x:c>
      <x:c r="C15" s="48" t="n">
        <x:v>131</x:v>
      </x:c>
      <x:c r="D15" s="48" t="n">
        <x:v>177</x:v>
      </x:c>
    </x:row>
    <x:row r="16">
      <x:c r="A16" t="str">
        <x:v>D&amp;A</x:v>
      </x:c>
      <x:c r="B16" s="48" t="n">
        <x:v>35</x:v>
      </x:c>
      <x:c r="C16" s="48" t="n">
        <x:v>38</x:v>
      </x:c>
      <x:c r="D16" s="48" t="n">
        <x:v>42</x:v>
      </x:c>
    </x:row>
    <x:row r="17">
      <x:c r="A17" t="str">
        <x:v>SBC</x:v>
      </x:c>
      <x:c r="B17" s="48" t="n">
        <x:v>25</x:v>
      </x:c>
      <x:c r="C17" s="48" t="n">
        <x:v>30</x:v>
      </x:c>
      <x:c r="D17" s="48" t="n">
        <x:v>38</x:v>
      </x:c>
    </x:row>
    <x:row r="18">
      <x:c r="A18" t="str">
        <x:v>CapEx</x:v>
      </x:c>
      <x:c r="B18" s="48" t="n">
        <x:v>55</x:v>
      </x:c>
      <x:c r="C18" s="48" t="n">
        <x:v>65</x:v>
      </x:c>
      <x:c r="D18" s="48" t="n">
        <x:v>82</x:v>
      </x:c>
    </x:row>
    <x:row r="19">
      <x:c r="A19" t="str">
        <x:v>Accounts Receivable</x:v>
      </x:c>
      <x:c r="B19" s="48" t="n">
        <x:v>130</x:v>
      </x:c>
      <x:c r="C19" s="48" t="n">
        <x:v>155</x:v>
      </x:c>
      <x:c r="D19" s="48" t="n">
        <x:v>190</x:v>
      </x:c>
    </x:row>
    <x:row r="20">
      <x:c r="A20" t="str">
        <x:v>Inventory</x:v>
      </x:c>
      <x:c r="B20" s="48" t="n">
        <x:v>95</x:v>
      </x:c>
      <x:c r="C20" s="48" t="n">
        <x:v>105</x:v>
      </x:c>
      <x:c r="D20" s="48" t="n">
        <x:v>125</x:v>
      </x:c>
    </x:row>
    <x:row r="21">
      <x:c r="A21" t="str">
        <x:v>Accounts Payable</x:v>
      </x:c>
      <x:c r="B21" s="48" t="n">
        <x:v>80</x:v>
      </x:c>
      <x:c r="C21" s="48" t="n">
        <x:v>90</x:v>
      </x:c>
      <x:c r="D21" s="48" t="n">
        <x:v>105</x:v>
      </x:c>
    </x:row>
    <x:row r="22">
      <x:c r="A22" t="str">
        <x:v>Cash</x:v>
      </x:c>
      <x:c r="B22" s="48" t="n">
        <x:v>240</x:v>
      </x:c>
      <x:c r="C22" s="48" t="n">
        <x:v>285</x:v>
      </x:c>
      <x:c r="D22" s="48" t="n">
        <x:v>350</x:v>
      </x:c>
    </x:row>
    <x:row r="23">
      <x:c r="A23" t="str">
        <x:v>Debt</x:v>
      </x:c>
      <x:c r="B23" s="48" t="n">
        <x:v>100</x:v>
      </x:c>
      <x:c r="C23" s="48" t="n">
        <x:v>90</x:v>
      </x:c>
      <x:c r="D23" s="48" t="n">
        <x:v>75</x:v>
      </x:c>
    </x:row>
    <x:row r="24">
      <x:c r="A24" t="str">
        <x:v>Diluted Shares (mm)</x:v>
      </x:c>
      <x:c r="B24" s="38" t="n">
        <x:v>96</x:v>
      </x:c>
      <x:c r="C24" s="38" t="n">
        <x:v>98</x:v>
      </x:c>
      <x:c r="D24" s="38" t="n">
        <x:v>100</x:v>
      </x:c>
    </x:row>
  </x:sheetData>
  <x:mergeCells>
    <x:mergeCell ref="A1:I1"/>
    <x:mergeCell ref="A2:I2"/>
    <x:mergeCell ref="F4:I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</x:cols>
  <x:sheetData>
    <x:row r="1" ht="28" customHeight="1">
      <x:c r="A1" s="4" t="str">
        <x:v>Segments and Product Revenue Units</x:v>
      </x:c>
      <x:c r="B1" s="4" t="str">
        <x:v>Segments and Product Revenue Units</x:v>
      </x:c>
      <x:c r="C1" s="4" t="str">
        <x:v>Segments and Product Revenue Units</x:v>
      </x:c>
      <x:c r="D1" s="4" t="str">
        <x:v>Segments and Product Revenue Units</x:v>
      </x:c>
      <x:c r="E1" s="4" t="str">
        <x:v>Segments and Product Revenue Units</x:v>
      </x:c>
      <x:c r="F1" s="4" t="str">
        <x:v>Segments and Product Revenue Units</x:v>
      </x:c>
      <x:c r="G1" s="4" t="str">
        <x:v>Segments and Product Revenue Units</x:v>
      </x:c>
      <x:c r="H1" s="4" t="str">
        <x:v>Segments and Product Revenue Units</x:v>
      </x:c>
      <x:c r="I1" s="4" t="str">
        <x:v>Segments and Product Revenue Units</x:v>
      </x:c>
      <x:c r="J1" s="4" t="str">
        <x:v>Segments and Product Revenue Units</x:v>
      </x:c>
      <x:c r="K1" s="4" t="str">
        <x:v>Segments and Product Revenue Units</x:v>
      </x:c>
    </x:row>
    <x:row r="2" ht="36" customHeight="1">
      <x:c r="A2" s="11" t="str">
        <x:v>Three illustrative mechanisms: hardware units × ASP, installed-base service, and stage-probability new product. Replace or expand by company segment.</x:v>
      </x:c>
      <x:c r="B2" s="11" t="str">
        <x:v>Three illustrative mechanisms: hardware units × ASP, installed-base service, and stage-probability new product. Replace or expand by company segment.</x:v>
      </x:c>
      <x:c r="C2" s="11" t="str">
        <x:v>Three illustrative mechanisms: hardware units × ASP, installed-base service, and stage-probability new product. Replace or expand by company segment.</x:v>
      </x:c>
      <x:c r="D2" s="11" t="str">
        <x:v>Three illustrative mechanisms: hardware units × ASP, installed-base service, and stage-probability new product. Replace or expand by company segment.</x:v>
      </x:c>
      <x:c r="E2" s="11" t="str">
        <x:v>Three illustrative mechanisms: hardware units × ASP, installed-base service, and stage-probability new product. Replace or expand by company segment.</x:v>
      </x:c>
      <x:c r="F2" s="11" t="str">
        <x:v>Three illustrative mechanisms: hardware units × ASP, installed-base service, and stage-probability new product. Replace or expand by company segment.</x:v>
      </x:c>
      <x:c r="G2" s="11" t="str">
        <x:v>Three illustrative mechanisms: hardware units × ASP, installed-base service, and stage-probability new product. Replace or expand by company segment.</x:v>
      </x:c>
      <x:c r="H2" s="11" t="str">
        <x:v>Three illustrative mechanisms: hardware units × ASP, installed-base service, and stage-probability new product. Replace or expand by company segment.</x:v>
      </x:c>
      <x:c r="I2" s="11" t="str">
        <x:v>Three illustrative mechanisms: hardware units × ASP, installed-base service, and stage-probability new product. Replace or expand by company segment.</x:v>
      </x:c>
      <x:c r="J2" s="11" t="str">
        <x:v>Three illustrative mechanisms: hardware units × ASP, installed-base service, and stage-probability new product. Replace or expand by company segment.</x:v>
      </x:c>
      <x:c r="K2" s="11" t="str">
        <x:v>Three illustrative mechanisms: hardware units × ASP, installed-base service, and stage-probability new product. Replace or expand by company segment.</x:v>
      </x:c>
    </x:row>
    <x:row r="4" ht="28" customHeight="1">
      <x:c r="A4" t="str">
        <x:v>$mm except units/ASP</x:v>
      </x:c>
      <x:c r="B4" s="26" t="str">
        <x:v>FY0</x:v>
      </x:c>
      <x:c r="C4" s="26" t="str">
        <x:v>FY+1</x:v>
      </x:c>
      <x:c r="D4" s="26" t="str">
        <x:v>FY+2</x:v>
      </x:c>
      <x:c r="E4" s="26" t="str">
        <x:v>FY+3</x:v>
      </x:c>
      <x:c r="F4" s="26" t="str">
        <x:v>FY+4</x:v>
      </x:c>
      <x:c r="G4" s="26" t="str">
        <x:v>FY+5</x:v>
      </x:c>
    </x:row>
    <x:row r="5" ht="21" customHeight="1">
      <x:c r="A5" s="18" t="str">
        <x:v>Core Hardware — unit × ASP</x:v>
      </x:c>
      <x:c r="B5" s="18" t="str">
        <x:v>Core Hardware — unit × ASP</x:v>
      </x:c>
      <x:c r="C5" s="18" t="str">
        <x:v>Core Hardware — unit × ASP</x:v>
      </x:c>
      <x:c r="D5" s="18" t="str">
        <x:v>Core Hardware — unit × ASP</x:v>
      </x:c>
      <x:c r="E5" s="18" t="str">
        <x:v>Core Hardware — unit × ASP</x:v>
      </x:c>
      <x:c r="F5" s="18" t="str">
        <x:v>Core Hardware — unit × ASP</x:v>
      </x:c>
      <x:c r="G5" s="18" t="str">
        <x:v>Core Hardware — unit × ASP</x:v>
      </x:c>
    </x:row>
    <x:row r="6">
      <x:c r="A6" t="str">
        <x:v>Units (mm)</x:v>
      </x:c>
      <x:c r="B6" s="48" t="n">
        <x:v>10</x:v>
      </x:c>
      <x:c r="C6" s="48" t="n">
        <x:v>11</x:v>
      </x:c>
      <x:c r="D6" s="48" t="n">
        <x:v>12.2</x:v>
      </x:c>
      <x:c r="E6" s="48" t="n">
        <x:v>13.3</x:v>
      </x:c>
      <x:c r="F6" s="48" t="n">
        <x:v>14.2</x:v>
      </x:c>
      <x:c r="G6" s="48" t="n">
        <x:v>15</x:v>
      </x:c>
    </x:row>
    <x:row r="7">
      <x:c r="A7" t="str">
        <x:v>ASP ($)</x:v>
      </x:c>
      <x:c r="B7" s="36" t="n">
        <x:v>70</x:v>
      </x:c>
      <x:c r="C7" s="36" t="n">
        <x:v>71</x:v>
      </x:c>
      <x:c r="D7" s="36" t="n">
        <x:v>72</x:v>
      </x:c>
      <x:c r="E7" s="36" t="n">
        <x:v>73</x:v>
      </x:c>
      <x:c r="F7" s="36" t="n">
        <x:v>74</x:v>
      </x:c>
      <x:c r="G7" s="36" t="n">
        <x:v>75</x:v>
      </x:c>
    </x:row>
    <x:row r="8">
      <x:c r="A8" t="str">
        <x:v>Revenue</x:v>
      </x:c>
      <x:c r="B8" s="56" t="n">
        <x:f>B6*B7</x:f>
        <x:v>700</x:v>
      </x:c>
      <x:c r="C8" s="56" t="n">
        <x:f>C6*C7</x:f>
        <x:v>781</x:v>
      </x:c>
      <x:c r="D8" s="56" t="n">
        <x:f>D6*D7</x:f>
        <x:v>878.4</x:v>
      </x:c>
      <x:c r="E8" s="56" t="n">
        <x:f>E6*E7</x:f>
        <x:v>970.9000000000001</x:v>
      </x:c>
      <x:c r="F8" s="56" t="n">
        <x:f>F6*F7</x:f>
        <x:v>1050.8</x:v>
      </x:c>
      <x:c r="G8" s="56" t="n">
        <x:f>G6*G7</x:f>
        <x:v>1125</x:v>
      </x:c>
    </x:row>
    <x:row r="9">
      <x:c r="A9" t="str">
        <x:v>Unit cost ($)</x:v>
      </x:c>
      <x:c r="B9" s="36" t="n">
        <x:v>44</x:v>
      </x:c>
      <x:c r="C9" s="36" t="n">
        <x:v>43</x:v>
      </x:c>
      <x:c r="D9" s="36" t="n">
        <x:v>42</x:v>
      </x:c>
      <x:c r="E9" s="36" t="n">
        <x:v>41</x:v>
      </x:c>
      <x:c r="F9" s="36" t="n">
        <x:v>40</x:v>
      </x:c>
      <x:c r="G9" s="36" t="n">
        <x:v>39</x:v>
      </x:c>
    </x:row>
    <x:row r="10">
      <x:c r="A10" t="str">
        <x:v>COGS</x:v>
      </x:c>
      <x:c r="B10" s="56" t="n">
        <x:f>B6*B9</x:f>
        <x:v>440</x:v>
      </x:c>
      <x:c r="C10" s="56" t="n">
        <x:f>C6*C9</x:f>
        <x:v>473</x:v>
      </x:c>
      <x:c r="D10" s="56" t="n">
        <x:f>D6*D9</x:f>
        <x:v>512.4</x:v>
      </x:c>
      <x:c r="E10" s="56" t="n">
        <x:f>E6*E9</x:f>
        <x:v>545.3000000000001</x:v>
      </x:c>
      <x:c r="F10" s="56" t="n">
        <x:f>F6*F9</x:f>
        <x:v>568</x:v>
      </x:c>
      <x:c r="G10" s="56" t="n">
        <x:f>G6*G9</x:f>
        <x:v>585</x:v>
      </x:c>
    </x:row>
    <x:row r="11">
      <x:c r="A11" t="str">
        <x:v>Gross Profit</x:v>
      </x:c>
      <x:c r="B11" s="56" t="n">
        <x:f>B8-B10</x:f>
        <x:v>260</x:v>
      </x:c>
      <x:c r="C11" s="56" t="n">
        <x:f>C8-C10</x:f>
        <x:v>308</x:v>
      </x:c>
      <x:c r="D11" s="56" t="n">
        <x:f>D8-D10</x:f>
        <x:v>366</x:v>
      </x:c>
      <x:c r="E11" s="56" t="n">
        <x:f>E8-E10</x:f>
        <x:v>425.6</x:v>
      </x:c>
      <x:c r="F11" s="56" t="n">
        <x:f>F8-F10</x:f>
        <x:v>482.79999999999995</x:v>
      </x:c>
      <x:c r="G11" s="56" t="n">
        <x:f>G8-G10</x:f>
        <x:v>540</x:v>
      </x:c>
    </x:row>
    <x:row r="12">
      <x:c r="B12" s="56"/>
      <x:c r="C12" s="56"/>
      <x:c r="D12" s="56"/>
      <x:c r="E12" s="56"/>
      <x:c r="F12" s="56"/>
      <x:c r="G12" s="56"/>
    </x:row>
    <x:row r="13" ht="21" customHeight="1">
      <x:c r="A13" s="18" t="str">
        <x:v>Service / Software — installed base × attach × ARPU</x:v>
      </x:c>
      <x:c r="B13" s="57" t="str">
        <x:v>Service / Software — installed base × attach × ARPU</x:v>
      </x:c>
      <x:c r="C13" s="57" t="str">
        <x:v>Service / Software — installed base × attach × ARPU</x:v>
      </x:c>
      <x:c r="D13" s="57" t="str">
        <x:v>Service / Software — installed base × attach × ARPU</x:v>
      </x:c>
      <x:c r="E13" s="57" t="str">
        <x:v>Service / Software — installed base × attach × ARPU</x:v>
      </x:c>
      <x:c r="F13" s="57" t="str">
        <x:v>Service / Software — installed base × attach × ARPU</x:v>
      </x:c>
      <x:c r="G13" s="57" t="str">
        <x:v>Service / Software — installed base × attach × ARPU</x:v>
      </x:c>
    </x:row>
    <x:row r="14">
      <x:c r="A14" t="str">
        <x:v>Installed base (mm)</x:v>
      </x:c>
      <x:c r="B14" s="48" t="n">
        <x:v>10</x:v>
      </x:c>
      <x:c r="C14" s="48" t="n">
        <x:v>10.8</x:v>
      </x:c>
      <x:c r="D14" s="48" t="n">
        <x:v>11.7</x:v>
      </x:c>
      <x:c r="E14" s="48" t="n">
        <x:v>12.6</x:v>
      </x:c>
      <x:c r="F14" s="48" t="n">
        <x:v>13.5</x:v>
      </x:c>
      <x:c r="G14" s="48" t="n">
        <x:v>14.4</x:v>
      </x:c>
    </x:row>
    <x:row r="15">
      <x:c r="A15" t="str">
        <x:v>Attach / renewal</x:v>
      </x:c>
      <x:c r="B15" s="54" t="n">
        <x:v>0.7</x:v>
      </x:c>
      <x:c r="C15" s="54" t="n">
        <x:v>0.71</x:v>
      </x:c>
      <x:c r="D15" s="54" t="n">
        <x:v>0.72</x:v>
      </x:c>
      <x:c r="E15" s="54" t="n">
        <x:v>0.73</x:v>
      </x:c>
      <x:c r="F15" s="54" t="n">
        <x:v>0.74</x:v>
      </x:c>
      <x:c r="G15" s="54" t="n">
        <x:v>0.75</x:v>
      </x:c>
    </x:row>
    <x:row r="16">
      <x:c r="A16" t="str">
        <x:v>Annual ARPU ($)</x:v>
      </x:c>
      <x:c r="B16" s="36" t="n">
        <x:v>55</x:v>
      </x:c>
      <x:c r="C16" s="36" t="n">
        <x:v>56</x:v>
      </x:c>
      <x:c r="D16" s="36" t="n">
        <x:v>57</x:v>
      </x:c>
      <x:c r="E16" s="36" t="n">
        <x:v>58</x:v>
      </x:c>
      <x:c r="F16" s="36" t="n">
        <x:v>59</x:v>
      </x:c>
      <x:c r="G16" s="36" t="n">
        <x:v>60</x:v>
      </x:c>
    </x:row>
    <x:row r="17">
      <x:c r="A17" t="str">
        <x:v>Revenue</x:v>
      </x:c>
      <x:c r="B17" s="56" t="n">
        <x:f>B14*B15*B16</x:f>
        <x:v>385</x:v>
      </x:c>
      <x:c r="C17" s="56" t="n">
        <x:f>C14*C15*C16</x:f>
        <x:v>429.408</x:v>
      </x:c>
      <x:c r="D17" s="56" t="n">
        <x:f>D14*D15*D16</x:f>
        <x:v>480.16799999999995</x:v>
      </x:c>
      <x:c r="E17" s="56" t="n">
        <x:f>E14*E15*E16</x:f>
        <x:v>533.484</x:v>
      </x:c>
      <x:c r="F17" s="56" t="n">
        <x:f>F14*F15*F16</x:f>
        <x:v>589.41</x:v>
      </x:c>
      <x:c r="G17" s="56" t="n">
        <x:f>G14*G15*G16</x:f>
        <x:v>648</x:v>
      </x:c>
    </x:row>
    <x:row r="18">
      <x:c r="A18" t="str">
        <x:v>Service cost ratio</x:v>
      </x:c>
      <x:c r="B18" s="48" t="n">
        <x:v>0.25</x:v>
      </x:c>
      <x:c r="C18" s="48" t="n">
        <x:v>0.245</x:v>
      </x:c>
      <x:c r="D18" s="48" t="n">
        <x:v>0.24</x:v>
      </x:c>
      <x:c r="E18" s="48" t="n">
        <x:v>0.235</x:v>
      </x:c>
      <x:c r="F18" s="48" t="n">
        <x:v>0.23</x:v>
      </x:c>
      <x:c r="G18" s="48" t="n">
        <x:v>0.225</x:v>
      </x:c>
    </x:row>
    <x:row r="19">
      <x:c r="A19" t="str">
        <x:v>COGS</x:v>
      </x:c>
      <x:c r="B19" s="56" t="n">
        <x:f>B17*B18</x:f>
        <x:v>96.25</x:v>
      </x:c>
      <x:c r="C19" s="56" t="n">
        <x:f>C17*C18</x:f>
        <x:v>105.20496</x:v>
      </x:c>
      <x:c r="D19" s="56" t="n">
        <x:f>D17*D18</x:f>
        <x:v>115.24031999999998</x:v>
      </x:c>
      <x:c r="E19" s="56" t="n">
        <x:f>E17*E18</x:f>
        <x:v>125.36874</x:v>
      </x:c>
      <x:c r="F19" s="56" t="n">
        <x:f>F17*F18</x:f>
        <x:v>135.5643</x:v>
      </x:c>
      <x:c r="G19" s="56" t="n">
        <x:f>G17*G18</x:f>
        <x:v>145.8</x:v>
      </x:c>
    </x:row>
    <x:row r="20">
      <x:c r="B20" s="56"/>
      <x:c r="C20" s="56"/>
      <x:c r="D20" s="56"/>
      <x:c r="E20" s="56"/>
      <x:c r="F20" s="56"/>
      <x:c r="G20" s="56"/>
    </x:row>
    <x:row r="21" ht="21" customHeight="1">
      <x:c r="A21" s="18" t="str">
        <x:v>New Product — deployments × content × share × ASP × stage probability</x:v>
      </x:c>
      <x:c r="B21" s="57" t="str">
        <x:v>New Product — deployments × content × share × ASP × stage probability</x:v>
      </x:c>
      <x:c r="C21" s="57" t="str">
        <x:v>New Product — deployments × content × share × ASP × stage probability</x:v>
      </x:c>
      <x:c r="D21" s="57" t="str">
        <x:v>New Product — deployments × content × share × ASP × stage probability</x:v>
      </x:c>
      <x:c r="E21" s="57" t="str">
        <x:v>New Product — deployments × content × share × ASP × stage probability</x:v>
      </x:c>
      <x:c r="F21" s="57" t="str">
        <x:v>New Product — deployments × content × share × ASP × stage probability</x:v>
      </x:c>
      <x:c r="G21" s="57" t="str">
        <x:v>New Product — deployments × content × share × ASP × stage probability</x:v>
      </x:c>
    </x:row>
    <x:row r="22">
      <x:c r="A22" t="str">
        <x:v>Market deployments (mm)</x:v>
      </x:c>
      <x:c r="B22" s="48" t="n">
        <x:v>1</x:v>
      </x:c>
      <x:c r="C22" s="48" t="n">
        <x:v>1.5</x:v>
      </x:c>
      <x:c r="D22" s="48" t="n">
        <x:v>2.2</x:v>
      </x:c>
      <x:c r="E22" s="48" t="n">
        <x:v>3</x:v>
      </x:c>
      <x:c r="F22" s="48" t="n">
        <x:v>3.9</x:v>
      </x:c>
      <x:c r="G22" s="48" t="n">
        <x:v>4.8</x:v>
      </x:c>
    </x:row>
    <x:row r="23">
      <x:c r="A23" t="str">
        <x:v>Content / deployment</x:v>
      </x:c>
      <x:c r="B23" s="48" t="n">
        <x:v>1</x:v>
      </x:c>
      <x:c r="C23" s="48" t="n">
        <x:v>1</x:v>
      </x:c>
      <x:c r="D23" s="48" t="n">
        <x:v>1.1</x:v>
      </x:c>
      <x:c r="E23" s="48" t="n">
        <x:v>1.1</x:v>
      </x:c>
      <x:c r="F23" s="48" t="n">
        <x:v>1.2</x:v>
      </x:c>
      <x:c r="G23" s="48" t="n">
        <x:v>1.2</x:v>
      </x:c>
    </x:row>
    <x:row r="24">
      <x:c r="A24" t="str">
        <x:v>Company share</x:v>
      </x:c>
      <x:c r="B24" s="54" t="n">
        <x:v>0.25</x:v>
      </x:c>
      <x:c r="C24" s="54" t="n">
        <x:v>0.28</x:v>
      </x:c>
      <x:c r="D24" s="54" t="n">
        <x:v>0.3</x:v>
      </x:c>
      <x:c r="E24" s="54" t="n">
        <x:v>0.33</x:v>
      </x:c>
      <x:c r="F24" s="54" t="n">
        <x:v>0.35</x:v>
      </x:c>
      <x:c r="G24" s="54" t="n">
        <x:v>0.37</x:v>
      </x:c>
    </x:row>
    <x:row r="25">
      <x:c r="A25" t="str">
        <x:v>ASP / unit ($)</x:v>
      </x:c>
      <x:c r="B25" s="36" t="n">
        <x:v>140</x:v>
      </x:c>
      <x:c r="C25" s="36" t="n">
        <x:v>135</x:v>
      </x:c>
      <x:c r="D25" s="36" t="n">
        <x:v>130</x:v>
      </x:c>
      <x:c r="E25" s="36" t="n">
        <x:v>125</x:v>
      </x:c>
      <x:c r="F25" s="36" t="n">
        <x:v>120</x:v>
      </x:c>
      <x:c r="G25" s="36" t="n">
        <x:v>115</x:v>
      </x:c>
    </x:row>
    <x:row r="26">
      <x:c r="A26" t="str">
        <x:v>Commercial stage probability</x:v>
      </x:c>
      <x:c r="B26" s="54" t="n">
        <x:v>1</x:v>
      </x:c>
      <x:c r="C26" s="54" t="n">
        <x:v>1</x:v>
      </x:c>
      <x:c r="D26" s="54" t="n">
        <x:v>1</x:v>
      </x:c>
      <x:c r="E26" s="54" t="n">
        <x:v>1</x:v>
      </x:c>
      <x:c r="F26" s="54" t="n">
        <x:v>1</x:v>
      </x:c>
      <x:c r="G26" s="54" t="n">
        <x:v>1</x:v>
      </x:c>
    </x:row>
    <x:row r="27">
      <x:c r="A27" t="str">
        <x:v>Revenue</x:v>
      </x:c>
      <x:c r="B27" s="56" t="n">
        <x:f>B22*B23*B24*B25*B26</x:f>
        <x:v>35</x:v>
      </x:c>
      <x:c r="C27" s="56" t="n">
        <x:f>C22*C23*C24*C25*C26</x:f>
        <x:v>56.7</x:v>
      </x:c>
      <x:c r="D27" s="56" t="n">
        <x:f>D22*D23*D24*D25*D26</x:f>
        <x:v>94.38000000000001</x:v>
      </x:c>
      <x:c r="E27" s="56" t="n">
        <x:f>E22*E23*E24*E25*E26</x:f>
        <x:v>136.12500000000003</x:v>
      </x:c>
      <x:c r="F27" s="56" t="n">
        <x:f>F22*F23*F24*F25*F26</x:f>
        <x:v>196.56</x:v>
      </x:c>
      <x:c r="G27" s="56" t="n">
        <x:f>G22*G23*G24*G25*G26</x:f>
        <x:v>245.08799999999997</x:v>
      </x:c>
    </x:row>
    <x:row r="28">
      <x:c r="A28" t="str">
        <x:v>COGS ratio</x:v>
      </x:c>
      <x:c r="B28" s="48" t="n">
        <x:v>0.6785714285714286</x:v>
      </x:c>
      <x:c r="C28" s="48" t="n">
        <x:v>0.65</x:v>
      </x:c>
      <x:c r="D28" s="48" t="n">
        <x:v>0.6</x:v>
      </x:c>
      <x:c r="E28" s="48" t="n">
        <x:v>0.56</x:v>
      </x:c>
      <x:c r="F28" s="48" t="n">
        <x:v>0.53</x:v>
      </x:c>
      <x:c r="G28" s="48" t="n">
        <x:v>0.5</x:v>
      </x:c>
    </x:row>
    <x:row r="29">
      <x:c r="B29" s="56"/>
      <x:c r="C29" s="56"/>
      <x:c r="D29" s="56"/>
      <x:c r="E29" s="56"/>
      <x:c r="F29" s="56"/>
      <x:c r="G29" s="56"/>
    </x:row>
    <x:row r="30">
      <x:c r="B30" s="56"/>
      <x:c r="C30" s="56"/>
      <x:c r="D30" s="56"/>
      <x:c r="E30" s="56"/>
      <x:c r="F30" s="56"/>
      <x:c r="G30" s="56"/>
    </x:row>
    <x:row r="31" ht="21" customHeight="1">
      <x:c r="A31" s="18" t="str">
        <x:v>Segment consolidation</x:v>
      </x:c>
      <x:c r="B31" s="57" t="str">
        <x:v>Segment consolidation</x:v>
      </x:c>
      <x:c r="C31" s="57" t="str">
        <x:v>Segment consolidation</x:v>
      </x:c>
      <x:c r="D31" s="57" t="str">
        <x:v>Segment consolidation</x:v>
      </x:c>
      <x:c r="E31" s="57" t="str">
        <x:v>Segment consolidation</x:v>
      </x:c>
      <x:c r="F31" s="57" t="str">
        <x:v>Segment consolidation</x:v>
      </x:c>
      <x:c r="G31" s="57" t="str">
        <x:v>Segment consolidation</x:v>
      </x:c>
    </x:row>
    <x:row r="32">
      <x:c r="A32" t="str">
        <x:v>Core Hardware Revenue</x:v>
      </x:c>
      <x:c r="B32" s="56" t="n">
        <x:f>B8</x:f>
        <x:v>700</x:v>
      </x:c>
      <x:c r="C32" s="56" t="n">
        <x:f>C8</x:f>
        <x:v>781</x:v>
      </x:c>
      <x:c r="D32" s="56" t="n">
        <x:f>D8</x:f>
        <x:v>878.4</x:v>
      </x:c>
      <x:c r="E32" s="56" t="n">
        <x:f>E8</x:f>
        <x:v>970.9000000000001</x:v>
      </x:c>
      <x:c r="F32" s="56" t="n">
        <x:f>F8</x:f>
        <x:v>1050.8</x:v>
      </x:c>
      <x:c r="G32" s="56" t="n">
        <x:f>G8</x:f>
        <x:v>1125</x:v>
      </x:c>
    </x:row>
    <x:row r="33">
      <x:c r="A33" t="str">
        <x:v>Service Revenue</x:v>
      </x:c>
      <x:c r="B33" s="56" t="n">
        <x:f>B17</x:f>
        <x:v>385</x:v>
      </x:c>
      <x:c r="C33" s="56" t="n">
        <x:f>C17</x:f>
        <x:v>429.408</x:v>
      </x:c>
      <x:c r="D33" s="56" t="n">
        <x:f>D17</x:f>
        <x:v>480.16799999999995</x:v>
      </x:c>
      <x:c r="E33" s="56" t="n">
        <x:f>E17</x:f>
        <x:v>533.484</x:v>
      </x:c>
      <x:c r="F33" s="56" t="n">
        <x:f>F17</x:f>
        <x:v>589.41</x:v>
      </x:c>
      <x:c r="G33" s="56" t="n">
        <x:f>G17</x:f>
        <x:v>648</x:v>
      </x:c>
    </x:row>
    <x:row r="34">
      <x:c r="A34" t="str">
        <x:v>New Product Revenue</x:v>
      </x:c>
      <x:c r="B34" s="56" t="n">
        <x:f>B27</x:f>
        <x:v>35</x:v>
      </x:c>
      <x:c r="C34" s="56" t="n">
        <x:f>C27</x:f>
        <x:v>56.7</x:v>
      </x:c>
      <x:c r="D34" s="56" t="n">
        <x:f>D27</x:f>
        <x:v>94.38000000000001</x:v>
      </x:c>
      <x:c r="E34" s="56" t="n">
        <x:f>E27</x:f>
        <x:v>136.12500000000003</x:v>
      </x:c>
      <x:c r="F34" s="56" t="n">
        <x:f>F27</x:f>
        <x:v>196.56</x:v>
      </x:c>
      <x:c r="G34" s="56" t="n">
        <x:f>G27</x:f>
        <x:v>245.08799999999997</x:v>
      </x:c>
    </x:row>
    <x:row r="35">
      <x:c r="A35" t="str">
        <x:v>Total Revenue</x:v>
      </x:c>
      <x:c r="B35" s="56" t="n">
        <x:f>SUM(B32:B34)</x:f>
        <x:v>1120</x:v>
      </x:c>
      <x:c r="C35" s="56" t="n">
        <x:f>SUM(C32:C34)</x:f>
        <x:v>1267.108</x:v>
      </x:c>
      <x:c r="D35" s="56" t="n">
        <x:f>SUM(D32:D34)</x:f>
        <x:v>1452.948</x:v>
      </x:c>
      <x:c r="E35" s="56" t="n">
        <x:f>SUM(E32:E34)</x:f>
        <x:v>1640.509</x:v>
      </x:c>
      <x:c r="F35" s="56" t="n">
        <x:f>SUM(F32:F34)</x:f>
        <x:v>1836.77</x:v>
      </x:c>
      <x:c r="G35" s="56" t="n">
        <x:f>SUM(G32:G34)</x:f>
        <x:v>2018.088</x:v>
      </x:c>
    </x:row>
    <x:row r="36">
      <x:c r="A36" t="str">
        <x:v>Total COGS</x:v>
      </x:c>
      <x:c r="B36" s="56" t="n">
        <x:f>B10+B19+B27*B28</x:f>
        <x:v>560</x:v>
      </x:c>
      <x:c r="C36" s="56" t="n">
        <x:f>C10+C19+C27*C28</x:f>
        <x:v>615.05996</x:v>
      </x:c>
      <x:c r="D36" s="56" t="n">
        <x:f>D10+D19+D27*D28</x:f>
        <x:v>684.26832</x:v>
      </x:c>
      <x:c r="E36" s="56" t="n">
        <x:f>E10+E19+E27*E28</x:f>
        <x:v>746.8987400000001</x:v>
      </x:c>
      <x:c r="F36" s="56" t="n">
        <x:f>F10+F19+F27*F28</x:f>
        <x:v>807.7411</x:v>
      </x:c>
      <x:c r="G36" s="56" t="n">
        <x:f>G10+G19+G27*G28</x:f>
        <x:v>853.3439999999999</x:v>
      </x:c>
    </x:row>
  </x:sheetData>
  <x:mergeCells>
    <x:mergeCell ref="A1:K1"/>
    <x:mergeCell ref="A2:K2"/>
    <x:mergeCell ref="A5:G5"/>
    <x:mergeCell ref="A13:G13"/>
    <x:mergeCell ref="A21:G21"/>
    <x:mergeCell ref="A31:G3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3" max="3" width="20" hidden="0" customWidth="1"/>
    <x:col min="4" max="4" width="17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2" hidden="0" customWidth="1"/>
    <x:col min="10" max="10" width="18" hidden="0" customWidth="1"/>
    <x:col min="11" max="11" width="28" hidden="0" customWidth="1"/>
    <x:col min="12" max="12" width="13" hidden="0" customWidth="1"/>
  </x:cols>
  <x:sheetData>
    <x:row r="1" ht="28" customHeight="1">
      <x:c r="A1" s="4" t="str">
        <x:v>Customer and Demand Cross-Check</x:v>
      </x:c>
      <x:c r="B1" s="4" t="str">
        <x:v>Customer and Demand Cross-Check</x:v>
      </x:c>
      <x:c r="C1" s="4" t="str">
        <x:v>Customer and Demand Cross-Check</x:v>
      </x:c>
      <x:c r="D1" s="4" t="str">
        <x:v>Customer and Demand Cross-Check</x:v>
      </x:c>
      <x:c r="E1" s="4" t="str">
        <x:v>Customer and Demand Cross-Check</x:v>
      </x:c>
      <x:c r="F1" s="4" t="str">
        <x:v>Customer and Demand Cross-Check</x:v>
      </x:c>
      <x:c r="G1" s="4" t="str">
        <x:v>Customer and Demand Cross-Check</x:v>
      </x:c>
      <x:c r="H1" s="4" t="str">
        <x:v>Customer and Demand Cross-Check</x:v>
      </x:c>
      <x:c r="I1" s="4" t="str">
        <x:v>Customer and Demand Cross-Check</x:v>
      </x:c>
      <x:c r="J1" s="4" t="str">
        <x:v>Customer and Demand Cross-Check</x:v>
      </x:c>
      <x:c r="K1" s="4" t="str">
        <x:v>Customer and Demand Cross-Check</x:v>
      </x:c>
      <x:c r="L1" s="4" t="str">
        <x:v>Customer and Demand Cross-Check</x:v>
      </x:c>
    </x:row>
    <x:row r="2" ht="36" customHeight="1">
      <x:c r="A2" s="11" t="str">
        <x:v>This schedule is a cross-check, not additive revenue. Map payer, user, deployment unit, procurement, content/share and conversion probability.</x:v>
      </x:c>
      <x:c r="B2" s="11" t="str">
        <x:v>This schedule is a cross-check, not additive revenue. Map payer, user, deployment unit, procurement, content/share and conversion probability.</x:v>
      </x:c>
      <x:c r="C2" s="11" t="str">
        <x:v>This schedule is a cross-check, not additive revenue. Map payer, user, deployment unit, procurement, content/share and conversion probability.</x:v>
      </x:c>
      <x:c r="D2" s="11" t="str">
        <x:v>This schedule is a cross-check, not additive revenue. Map payer, user, deployment unit, procurement, content/share and conversion probability.</x:v>
      </x:c>
      <x:c r="E2" s="11" t="str">
        <x:v>This schedule is a cross-check, not additive revenue. Map payer, user, deployment unit, procurement, content/share and conversion probability.</x:v>
      </x:c>
      <x:c r="F2" s="11" t="str">
        <x:v>This schedule is a cross-check, not additive revenue. Map payer, user, deployment unit, procurement, content/share and conversion probability.</x:v>
      </x:c>
      <x:c r="G2" s="11" t="str">
        <x:v>This schedule is a cross-check, not additive revenue. Map payer, user, deployment unit, procurement, content/share and conversion probability.</x:v>
      </x:c>
      <x:c r="H2" s="11" t="str">
        <x:v>This schedule is a cross-check, not additive revenue. Map payer, user, deployment unit, procurement, content/share and conversion probability.</x:v>
      </x:c>
      <x:c r="I2" s="11" t="str">
        <x:v>This schedule is a cross-check, not additive revenue. Map payer, user, deployment unit, procurement, content/share and conversion probability.</x:v>
      </x:c>
      <x:c r="J2" s="11" t="str">
        <x:v>This schedule is a cross-check, not additive revenue. Map payer, user, deployment unit, procurement, content/share and conversion probability.</x:v>
      </x:c>
      <x:c r="K2" s="11" t="str">
        <x:v>This schedule is a cross-check, not additive revenue. Map payer, user, deployment unit, procurement, content/share and conversion probability.</x:v>
      </x:c>
      <x:c r="L2" s="11" t="str">
        <x:v>This schedule is a cross-check, not additive revenue. Map payer, user, deployment unit, procurement, content/share and conversion probability.</x:v>
      </x:c>
    </x:row>
    <x:row r="4" ht="28" customHeight="1">
      <x:c r="A4" s="26" t="str">
        <x:v>Customer group</x:v>
      </x:c>
      <x:c r="B4" s="26" t="str">
        <x:v>Payer / user</x:v>
      </x:c>
      <x:c r="C4" s="26" t="str">
        <x:v>Deployment unit</x:v>
      </x:c>
      <x:c r="D4" s="26" t="str">
        <x:v>FY+1 deployments</x:v>
      </x:c>
      <x:c r="E4" s="26" t="str">
        <x:v>Content</x:v>
      </x:c>
      <x:c r="F4" s="26" t="str">
        <x:v>Serviceable share</x:v>
      </x:c>
      <x:c r="G4" s="26" t="str">
        <x:v>Company share</x:v>
      </x:c>
      <x:c r="H4" s="26" t="str">
        <x:v>ASP / ARPU</x:v>
      </x:c>
      <x:c r="I4" s="26" t="str">
        <x:v>Conversion / recognition</x:v>
      </x:c>
      <x:c r="J4" s="26" t="str">
        <x:v>Revenue potential</x:v>
      </x:c>
      <x:c r="K4" s="26" t="str">
        <x:v>Source IDs</x:v>
      </x:c>
      <x:c r="L4" s="26" t="str">
        <x:v>Confidence</x:v>
      </x:c>
    </x:row>
    <x:row r="5">
      <x:c r="A5" s="34" t="str">
        <x:v>Enterprise</x:v>
      </x:c>
      <x:c r="B5" s="34" t="str">
        <x:v>Enterprise / operations</x:v>
      </x:c>
      <x:c r="C5" s="34" t="str">
        <x:v>Sites</x:v>
      </x:c>
      <x:c r="D5" s="34" t="n">
        <x:v>1.2</x:v>
      </x:c>
      <x:c r="E5" s="34" t="n">
        <x:v>1</x:v>
      </x:c>
      <x:c r="F5" s="54" t="n">
        <x:v>0.6</x:v>
      </x:c>
      <x:c r="G5" s="54" t="n">
        <x:v>0.18</x:v>
      </x:c>
      <x:c r="H5" s="36" t="n">
        <x:v>85</x:v>
      </x:c>
      <x:c r="I5" s="54" t="n">
        <x:v>0.8</x:v>
      </x:c>
      <x:c r="J5" s="56" t="n">
        <x:f>D5*E5*F5*G5*H5*I5</x:f>
        <x:v>8.812800000000001</x:v>
      </x:c>
      <x:c r="K5" t="str">
        <x:v>SRC-CUST1;SRC-IND</x:v>
      </x:c>
      <x:c r="L5" t="str">
        <x:v>medium</x:v>
      </x:c>
    </x:row>
    <x:row r="6">
      <x:c r="A6" s="34" t="str">
        <x:v>Cloud / hyperscale</x:v>
      </x:c>
      <x:c r="B6" s="34" t="str">
        <x:v>Cloud operator</x:v>
      </x:c>
      <x:c r="C6" s="34" t="str">
        <x:v>Racks / workloads</x:v>
      </x:c>
      <x:c r="D6" s="34" t="n">
        <x:v>0.8</x:v>
      </x:c>
      <x:c r="E6" s="34" t="n">
        <x:v>1.3</x:v>
      </x:c>
      <x:c r="F6" s="54" t="n">
        <x:v>0.45</x:v>
      </x:c>
      <x:c r="G6" s="54" t="n">
        <x:v>0.1</x:v>
      </x:c>
      <x:c r="H6" s="36" t="n">
        <x:v>110</x:v>
      </x:c>
      <x:c r="I6" s="54" t="n">
        <x:v>0.65</x:v>
      </x:c>
      <x:c r="J6" s="56" t="n">
        <x:f>D6*E6*F6*G6*H6*I6</x:f>
        <x:v>3.3462000000000005</x:v>
      </x:c>
      <x:c r="K6" t="str">
        <x:v>SRC-CUST2;SRC-PEER</x:v>
      </x:c>
      <x:c r="L6" t="str">
        <x:v>low</x:v>
      </x:c>
    </x:row>
    <x:row r="7">
      <x:c r="A7" s="34" t="str">
        <x:v>Channel / SMB</x:v>
      </x:c>
      <x:c r="B7" s="34" t="str">
        <x:v>Distributor / SMB</x:v>
      </x:c>
      <x:c r="C7" s="34" t="str">
        <x:v>Units</x:v>
      </x:c>
      <x:c r="D7" s="34" t="n">
        <x:v>4</x:v>
      </x:c>
      <x:c r="E7" s="34" t="n">
        <x:v>1</x:v>
      </x:c>
      <x:c r="F7" s="54" t="n">
        <x:v>0.7</x:v>
      </x:c>
      <x:c r="G7" s="54" t="n">
        <x:v>0.12</x:v>
      </x:c>
      <x:c r="H7" s="36" t="n">
        <x:v>55</x:v>
      </x:c>
      <x:c r="I7" s="54" t="n">
        <x:v>0.75</x:v>
      </x:c>
      <x:c r="J7" s="56" t="n">
        <x:f>D7*E7*F7*G7*H7*I7</x:f>
        <x:v>13.859999999999998</x:v>
      </x:c>
      <x:c r="K7" t="str">
        <x:v>SRC-CHAN;SRC-CALL</x:v>
      </x:c>
      <x:c r="L7" t="str">
        <x:v>medium</x:v>
      </x:c>
    </x:row>
    <x:row r="8">
      <x:c r="A8" s="34" t="str">
        <x:v>New product early adopters</x:v>
      </x:c>
      <x:c r="B8" s="34" t="str">
        <x:v>Customer / engineer</x:v>
      </x:c>
      <x:c r="C8" s="34" t="str">
        <x:v>Programs</x:v>
      </x:c>
      <x:c r="D8" s="34" t="n">
        <x:v>0.3</x:v>
      </x:c>
      <x:c r="E8" s="34" t="n">
        <x:v>1.5</x:v>
      </x:c>
      <x:c r="F8" s="54" t="n">
        <x:v>0.35</x:v>
      </x:c>
      <x:c r="G8" s="54" t="n">
        <x:v>0.08</x:v>
      </x:c>
      <x:c r="H8" s="36" t="n">
        <x:v>140</x:v>
      </x:c>
      <x:c r="I8" s="54" t="n">
        <x:v>0.3</x:v>
      </x:c>
      <x:c r="J8" s="56" t="n">
        <x:f>D8*E8*F8*G8*H8*I8</x:f>
        <x:v>0.5291999999999999</x:v>
      </x:c>
      <x:c r="K8" t="str">
        <x:v>SRC-PROD;SRC-PAPER</x:v>
      </x:c>
      <x:c r="L8" t="str">
        <x:v>low</x:v>
      </x:c>
    </x:row>
    <x:row r="11" ht="21" customHeight="1">
      <x:c r="A11" s="18" t="str">
        <x:v>Cross-check and double-count guard</x:v>
      </x:c>
      <x:c r="B11" s="18" t="str">
        <x:v>Cross-check and double-count guard</x:v>
      </x:c>
      <x:c r="C11" s="18" t="str">
        <x:v>Cross-check and double-count guard</x:v>
      </x:c>
      <x:c r="D11" s="18" t="str">
        <x:v>Cross-check and double-count guard</x:v>
      </x:c>
      <x:c r="E11" s="18" t="str">
        <x:v>Cross-check and double-count guard</x:v>
      </x:c>
      <x:c r="F11" s="18" t="str">
        <x:v>Cross-check and double-count guard</x:v>
      </x:c>
      <x:c r="G11" s="18" t="str">
        <x:v>Cross-check and double-count guard</x:v>
      </x:c>
      <x:c r="H11" s="18" t="str">
        <x:v>Cross-check and double-count guard</x:v>
      </x:c>
      <x:c r="I11" s="18" t="str">
        <x:v>Cross-check and double-count guard</x:v>
      </x:c>
      <x:c r="J11" s="18" t="str">
        <x:v>Cross-check and double-count guard</x:v>
      </x:c>
      <x:c r="K11" s="18" t="str">
        <x:v>Cross-check and double-count guard</x:v>
      </x:c>
      <x:c r="L11" s="18" t="str">
        <x:v>Cross-check and double-count guard</x:v>
      </x:c>
    </x:row>
    <x:row r="12" ht="28" customHeight="1">
      <x:c r="A12" s="26" t="str">
        <x:v>Item</x:v>
      </x:c>
      <x:c r="B12" s="26" t="str">
        <x:v>Value</x:v>
      </x:c>
      <x:c r="C12" s="26" t="str">
        <x:v>Formula / use</x:v>
      </x:c>
      <x:c r="D12" s="26" t="str">
        <x:v>Status</x:v>
      </x:c>
    </x:row>
    <x:row r="13">
      <x:c r="A13" t="str">
        <x:v>Customer revenue potential</x:v>
      </x:c>
      <x:c r="B13" s="56" t="n">
        <x:f>SUM(J5:J8)</x:f>
        <x:v>26.548199999999998</x:v>
      </x:c>
      <x:c r="C13" t="str">
        <x:v>Sum only as a cross-check</x:v>
      </x:c>
      <x:c r="D13" t="str"/>
    </x:row>
    <x:row r="14">
      <x:c r="A14" t="str">
        <x:v>FY+1 segment revenue</x:v>
      </x:c>
      <x:c r="B14" s="56" t="n">
        <x:f>'Segments_Products'!C35</x:f>
        <x:v>1267.108</x:v>
      </x:c>
      <x:c r="C14" t="str">
        <x:v>Linked from segment model</x:v>
      </x:c>
      <x:c r="D14" t="str"/>
    </x:row>
    <x:row r="15">
      <x:c r="A15" t="str">
        <x:v>Cross-check variance</x:v>
      </x:c>
      <x:c r="B15" s="50" t="n">
        <x:f>B13/B14-1</x:f>
        <x:v>-0.979048194786869</x:v>
      </x:c>
      <x:c r="C15" t="str">
        <x:v>Potential / segment revenue - 1</x:v>
      </x:c>
      <x:c r="D15" t="str"/>
    </x:row>
    <x:row r="16">
      <x:c r="A16" t="str">
        <x:v>Revenue permission</x:v>
      </x:c>
      <x:c r="B16" t="str">
        <x:v>Do not add both schedules</x:v>
      </x:c>
      <x:c r="C16" t="str">
        <x:v>Customer model validates drivers, not a second revenue source</x:v>
      </x:c>
      <x:c r="D16" t="str">
        <x:v>PASS</x:v>
      </x:c>
    </x:row>
  </x:sheetData>
  <x:mergeCells>
    <x:mergeCell ref="A1:L1"/>
    <x:mergeCell ref="A2:L2"/>
    <x:mergeCell ref="A11:L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4" hidden="0" customWidth="1"/>
    <x:col min="5" max="5" width="26" hidden="0" customWidth="1"/>
    <x:col min="6" max="6" width="18" hidden="0" customWidth="1"/>
    <x:col min="7" max="7" width="15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8" customHeight="1">
      <x:c r="A1" s="4" t="str">
        <x:v>Supply, Capacity and Delivery Constraint</x:v>
      </x:c>
      <x:c r="B1" s="4" t="str">
        <x:v>Supply, Capacity and Delivery Constraint</x:v>
      </x:c>
      <x:c r="C1" s="4" t="str">
        <x:v>Supply, Capacity and Delivery Constraint</x:v>
      </x:c>
      <x:c r="D1" s="4" t="str">
        <x:v>Supply, Capacity and Delivery Constraint</x:v>
      </x:c>
      <x:c r="E1" s="4" t="str">
        <x:v>Supply, Capacity and Delivery Constraint</x:v>
      </x:c>
      <x:c r="F1" s="4" t="str">
        <x:v>Supply, Capacity and Delivery Constraint</x:v>
      </x:c>
      <x:c r="G1" s="4" t="str">
        <x:v>Supply, Capacity and Delivery Constraint</x:v>
      </x:c>
      <x:c r="H1" s="4" t="str">
        <x:v>Supply, Capacity and Delivery Constraint</x:v>
      </x:c>
      <x:c r="I1" s="4" t="str">
        <x:v>Supply, Capacity and Delivery Constraint</x:v>
      </x:c>
      <x:c r="J1" s="4" t="str">
        <x:v>Supply, Capacity and Delivery Constraint</x:v>
      </x:c>
    </x:row>
    <x:row r="2" ht="36" customHeight="1">
      <x:c r="A2" s="11" t="str">
        <x:v>Revenue recognized cannot exceed qualified and deliverable capacity. This example constrains core hardware units.</x:v>
      </x:c>
      <x:c r="B2" s="11" t="str">
        <x:v>Revenue recognized cannot exceed qualified and deliverable capacity. This example constrains core hardware units.</x:v>
      </x:c>
      <x:c r="C2" s="11" t="str">
        <x:v>Revenue recognized cannot exceed qualified and deliverable capacity. This example constrains core hardware units.</x:v>
      </x:c>
      <x:c r="D2" s="11" t="str">
        <x:v>Revenue recognized cannot exceed qualified and deliverable capacity. This example constrains core hardware units.</x:v>
      </x:c>
      <x:c r="E2" s="11" t="str">
        <x:v>Revenue recognized cannot exceed qualified and deliverable capacity. This example constrains core hardware units.</x:v>
      </x:c>
      <x:c r="F2" s="11" t="str">
        <x:v>Revenue recognized cannot exceed qualified and deliverable capacity. This example constrains core hardware units.</x:v>
      </x:c>
      <x:c r="G2" s="11" t="str">
        <x:v>Revenue recognized cannot exceed qualified and deliverable capacity. This example constrains core hardware units.</x:v>
      </x:c>
      <x:c r="H2" s="11" t="str">
        <x:v>Revenue recognized cannot exceed qualified and deliverable capacity. This example constrains core hardware units.</x:v>
      </x:c>
      <x:c r="I2" s="11" t="str">
        <x:v>Revenue recognized cannot exceed qualified and deliverable capacity. This example constrains core hardware units.</x:v>
      </x:c>
      <x:c r="J2" s="11" t="str">
        <x:v>Revenue recognized cannot exceed qualified and deliverable capacity. This example constrains core hardware units.</x:v>
      </x:c>
    </x:row>
    <x:row r="4" ht="28" customHeight="1">
      <x:c r="A4" s="26" t="str">
        <x:v>Metric</x:v>
      </x:c>
      <x:c r="B4" s="26" t="str">
        <x:v>FY0</x:v>
      </x:c>
      <x:c r="C4" s="26" t="str">
        <x:v>FY+1</x:v>
      </x:c>
      <x:c r="D4" s="26" t="str">
        <x:v>FY+2</x:v>
      </x:c>
      <x:c r="E4" s="26" t="str">
        <x:v>FY+3</x:v>
      </x:c>
      <x:c r="F4" s="26" t="str">
        <x:v>FY+4</x:v>
      </x:c>
      <x:c r="G4" s="26" t="str">
        <x:v>FY+5</x:v>
      </x:c>
    </x:row>
    <x:row r="5">
      <x:c r="A5" t="str">
        <x:v>Nameplate capacity (mm units)</x:v>
      </x:c>
      <x:c r="B5" s="38" t="n">
        <x:v>11</x:v>
      </x:c>
      <x:c r="C5" s="38" t="n">
        <x:v>12</x:v>
      </x:c>
      <x:c r="D5" s="38" t="n">
        <x:v>13</x:v>
      </x:c>
      <x:c r="E5" s="38" t="n">
        <x:v>14</x:v>
      </x:c>
      <x:c r="F5" s="38" t="n">
        <x:v>15</x:v>
      </x:c>
      <x:c r="G5" s="38" t="n">
        <x:v>16</x:v>
      </x:c>
    </x:row>
    <x:row r="6">
      <x:c r="A6" t="str">
        <x:v>Utilization</x:v>
      </x:c>
      <x:c r="B6" s="54" t="n">
        <x:v>0.85</x:v>
      </x:c>
      <x:c r="C6" s="54" t="n">
        <x:v>0.88</x:v>
      </x:c>
      <x:c r="D6" s="54" t="n">
        <x:v>0.9</x:v>
      </x:c>
      <x:c r="E6" s="54" t="n">
        <x:v>0.91</x:v>
      </x:c>
      <x:c r="F6" s="54" t="n">
        <x:v>0.92</x:v>
      </x:c>
      <x:c r="G6" s="54" t="n">
        <x:v>0.92</x:v>
      </x:c>
    </x:row>
    <x:row r="7">
      <x:c r="A7" t="str">
        <x:v>Yield</x:v>
      </x:c>
      <x:c r="B7" s="54" t="n">
        <x:v>0.95</x:v>
      </x:c>
      <x:c r="C7" s="54" t="n">
        <x:v>0.96</x:v>
      </x:c>
      <x:c r="D7" s="54" t="n">
        <x:v>0.965</x:v>
      </x:c>
      <x:c r="E7" s="54" t="n">
        <x:v>0.97</x:v>
      </x:c>
      <x:c r="F7" s="54" t="n">
        <x:v>0.972</x:v>
      </x:c>
      <x:c r="G7" s="54" t="n">
        <x:v>0.975</x:v>
      </x:c>
    </x:row>
    <x:row r="8">
      <x:c r="A8" t="str">
        <x:v>Qualified output</x:v>
      </x:c>
      <x:c r="B8" s="60" t="n">
        <x:f>B5*B6*B7</x:f>
        <x:v>8.882499999999999</x:v>
      </x:c>
      <x:c r="C8" s="60" t="n">
        <x:f>C5*C6*C7</x:f>
        <x:v>10.1376</x:v>
      </x:c>
      <x:c r="D8" s="60" t="n">
        <x:f>D5*D6*D7</x:f>
        <x:v>11.290500000000002</x:v>
      </x:c>
      <x:c r="E8" s="60" t="n">
        <x:f>E5*E6*E7</x:f>
        <x:v>12.3578</x:v>
      </x:c>
      <x:c r="F8" s="60" t="n">
        <x:f>F5*F6*F7</x:f>
        <x:v>13.4136</x:v>
      </x:c>
      <x:c r="G8" s="60" t="n">
        <x:f>G5*G6*G7</x:f>
        <x:v>14.352</x:v>
      </x:c>
    </x:row>
    <x:row r="9">
      <x:c r="A9" t="str">
        <x:v>Demand units</x:v>
      </x:c>
      <x:c r="B9" s="60" t="n">
        <x:f>'Segments_Products'!B6</x:f>
        <x:v>10</x:v>
      </x:c>
      <x:c r="C9" s="60" t="n">
        <x:f>'Segments_Products'!C6</x:f>
        <x:v>11</x:v>
      </x:c>
      <x:c r="D9" s="60" t="n">
        <x:f>'Segments_Products'!D6</x:f>
        <x:v>12.2</x:v>
      </x:c>
      <x:c r="E9" s="60" t="n">
        <x:f>'Segments_Products'!E6</x:f>
        <x:v>13.3</x:v>
      </x:c>
      <x:c r="F9" s="60" t="n">
        <x:f>'Segments_Products'!F6</x:f>
        <x:v>14.2</x:v>
      </x:c>
      <x:c r="G9" s="60" t="n">
        <x:f>'Segments_Products'!G6</x:f>
        <x:v>15</x:v>
      </x:c>
    </x:row>
    <x:row r="10">
      <x:c r="A10" t="str">
        <x:v>Deliverable units</x:v>
      </x:c>
      <x:c r="B10" s="60" t="n">
        <x:f>MIN(B8,B9)</x:f>
        <x:v>8.882499999999999</x:v>
      </x:c>
      <x:c r="C10" s="60" t="n">
        <x:f>MIN(C8,C9)</x:f>
        <x:v>10.1376</x:v>
      </x:c>
      <x:c r="D10" s="60" t="n">
        <x:f>MIN(D8,D9)</x:f>
        <x:v>11.290500000000002</x:v>
      </x:c>
      <x:c r="E10" s="60" t="n">
        <x:f>MIN(E8,E9)</x:f>
        <x:v>12.3578</x:v>
      </x:c>
      <x:c r="F10" s="60" t="n">
        <x:f>MIN(F8,F9)</x:f>
        <x:v>13.4136</x:v>
      </x:c>
      <x:c r="G10" s="60" t="n">
        <x:f>MIN(G8,G9)</x:f>
        <x:v>14.352</x:v>
      </x:c>
    </x:row>
    <x:row r="11">
      <x:c r="A11" t="str">
        <x:v>Supply gap / (excess)</x:v>
      </x:c>
      <x:c r="B11" s="60" t="n">
        <x:f>B8-B9</x:f>
        <x:v>-1.1175000000000015</x:v>
      </x:c>
      <x:c r="C11" s="60" t="n">
        <x:f>C8-C9</x:f>
        <x:v>-0.8623999999999992</x:v>
      </x:c>
      <x:c r="D11" s="60" t="n">
        <x:f>D8-D9</x:f>
        <x:v>-0.9094999999999978</x:v>
      </x:c>
      <x:c r="E11" s="60" t="n">
        <x:f>E8-E9</x:f>
        <x:v>-0.9422000000000015</x:v>
      </x:c>
      <x:c r="F11" s="60" t="n">
        <x:f>F8-F9</x:f>
        <x:v>-0.7863999999999987</x:v>
      </x:c>
      <x:c r="G11" s="60" t="n">
        <x:f>G8-G9</x:f>
        <x:v>-0.6479999999999997</x:v>
      </x:c>
    </x:row>
    <x:row r="12">
      <x:c r="A12" t="str">
        <x:v>Capacity-constrained revenue</x:v>
      </x:c>
      <x:c r="B12" s="56" t="n">
        <x:f>B10*'Segments_Products'!B7</x:f>
        <x:v>621.7749999999999</x:v>
      </x:c>
      <x:c r="C12" s="56" t="n">
        <x:f>C10*'Segments_Products'!C7</x:f>
        <x:v>719.7696000000001</x:v>
      </x:c>
      <x:c r="D12" s="56" t="n">
        <x:f>D10*'Segments_Products'!D7</x:f>
        <x:v>812.9160000000002</x:v>
      </x:c>
      <x:c r="E12" s="56" t="n">
        <x:f>E10*'Segments_Products'!E7</x:f>
        <x:v>902.1193999999999</x:v>
      </x:c>
      <x:c r="F12" s="56" t="n">
        <x:f>F10*'Segments_Products'!F7</x:f>
        <x:v>992.6064</x:v>
      </x:c>
      <x:c r="G12" s="56" t="n">
        <x:f>G10*'Segments_Products'!G7</x:f>
        <x:v>1076.4</x:v>
      </x:c>
    </x:row>
    <x:row r="15" ht="21" customHeight="1">
      <x:c r="A15" s="18" t="str">
        <x:v>Constraint checklist</x:v>
      </x:c>
      <x:c r="B15" s="18" t="str">
        <x:v>Constraint checklist</x:v>
      </x:c>
      <x:c r="C15" s="18" t="str">
        <x:v>Constraint checklist</x:v>
      </x:c>
      <x:c r="D15" s="18" t="str">
        <x:v>Constraint checklist</x:v>
      </x:c>
      <x:c r="E15" s="18" t="str">
        <x:v>Constraint checklist</x:v>
      </x:c>
      <x:c r="F15" s="18" t="str">
        <x:v>Constraint checklist</x:v>
      </x:c>
      <x:c r="G15" s="18" t="str">
        <x:v>Constraint checklist</x:v>
      </x:c>
      <x:c r="H15" s="18" t="str">
        <x:v>Constraint checklist</x:v>
      </x:c>
      <x:c r="I15" s="18" t="str">
        <x:v>Constraint checklist</x:v>
      </x:c>
      <x:c r="J15" s="18" t="str">
        <x:v>Constraint checklist</x:v>
      </x:c>
    </x:row>
    <x:row r="16" ht="28" customHeight="1">
      <x:c r="A16" s="26" t="str">
        <x:v>Constraint</x:v>
      </x:c>
      <x:c r="B16" s="26" t="str">
        <x:v>Evidence</x:v>
      </x:c>
      <x:c r="C16" s="26" t="str">
        <x:v>Current status</x:v>
      </x:c>
      <x:c r="D16" s="26" t="str">
        <x:v>Financial effect</x:v>
      </x:c>
      <x:c r="E16" s="26" t="str">
        <x:v>Trigger</x:v>
      </x:c>
      <x:c r="F16" s="26" t="str">
        <x:v>Human-required</x:v>
      </x:c>
    </x:row>
    <x:row r="17">
      <x:c r="A17" s="40" t="str">
        <x:v>Components</x:v>
      </x:c>
      <x:c r="B17" s="40" t="str">
        <x:v>Supplier / call</x:v>
      </x:c>
      <x:c r="C17" s="40" t="str">
        <x:v>medium</x:v>
      </x:c>
      <x:c r="D17" s="40" t="str">
        <x:v>Units, cost, lead time</x:v>
      </x:c>
      <x:c r="E17" s="40" t="str">
        <x:v>lead-time / allocation change</x:v>
      </x:c>
      <x:c r="F17" s="40" t="str">
        <x:v>yes</x:v>
      </x:c>
    </x:row>
    <x:row r="18">
      <x:c r="A18" s="40" t="str">
        <x:v>Packaging / manufacturing</x:v>
      </x:c>
      <x:c r="B18" s="40" t="str">
        <x:v>Supplier / capacity</x:v>
      </x:c>
      <x:c r="C18" s="40" t="str">
        <x:v>medium</x:v>
      </x:c>
      <x:c r="D18" s="40" t="str">
        <x:v>Capacity and yield</x:v>
      </x:c>
      <x:c r="E18" s="40" t="str">
        <x:v>qualification / utilization</x:v>
      </x:c>
      <x:c r="F18" s="40" t="str">
        <x:v>yes</x:v>
      </x:c>
    </x:row>
    <x:row r="19">
      <x:c r="A19" s="40" t="str">
        <x:v>Logistics / acceptance</x:v>
      </x:c>
      <x:c r="B19" s="40" t="str">
        <x:v>Call / customer</x:v>
      </x:c>
      <x:c r="C19" s="40" t="str">
        <x:v>medium</x:v>
      </x:c>
      <x:c r="D19" s="40" t="str">
        <x:v>Recognition and margin</x:v>
      </x:c>
      <x:c r="E19" s="40" t="str">
        <x:v>delivery / acceptance slip</x:v>
      </x:c>
      <x:c r="F19" s="40" t="str">
        <x:v>yes</x:v>
      </x:c>
    </x:row>
    <x:row r="20">
      <x:c r="A20" s="40" t="str">
        <x:v>Labor / implementation</x:v>
      </x:c>
      <x:c r="B20" s="40" t="str">
        <x:v>Company / customer</x:v>
      </x:c>
      <x:c r="C20" s="40" t="str">
        <x:v>low</x:v>
      </x:c>
      <x:c r="D20" s="40" t="str">
        <x:v>Service/product conversion</x:v>
      </x:c>
      <x:c r="E20" s="40" t="str">
        <x:v>deployment backlog</x:v>
      </x:c>
      <x:c r="F20" s="40" t="str">
        <x:v>yes</x:v>
      </x:c>
    </x:row>
  </x:sheetData>
  <x:mergeCells>
    <x:mergeCell ref="A1:J1"/>
    <x:mergeCell ref="A2:J2"/>
    <x:mergeCell ref="A15:J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6" hidden="0" customWidth="1"/>
    <x:col min="4" max="4" width="22" hidden="0" customWidth="1"/>
    <x:col min="5" max="5" width="16" hidden="0" customWidth="1"/>
    <x:col min="6" max="6" width="20" hidden="0" customWidth="1"/>
    <x:col min="7" max="7" width="18" hidden="0" customWidth="1"/>
    <x:col min="8" max="8" width="14" hidden="0" customWidth="1"/>
    <x:col min="9" max="9" width="18" hidden="0" customWidth="1"/>
    <x:col min="10" max="10" width="20" hidden="0" customWidth="1"/>
    <x:col min="11" max="11" width="24" hidden="0" customWidth="1"/>
    <x:col min="12" max="12" width="26" hidden="0" customWidth="1"/>
    <x:col min="13" max="13" width="14" hidden="0" customWidth="1"/>
  </x:cols>
  <x:sheetData>
    <x:row r="1" ht="28" customHeight="1">
      <x:c r="A1" s="4" t="str">
        <x:v>Technology, Papers, Patents and Commercialization Stage</x:v>
      </x:c>
      <x:c r="B1" s="4" t="str">
        <x:v>Technology, Papers, Patents and Commercialization Stage</x:v>
      </x:c>
      <x:c r="C1" s="4" t="str">
        <x:v>Technology, Papers, Patents and Commercialization Stage</x:v>
      </x:c>
      <x:c r="D1" s="4" t="str">
        <x:v>Technology, Papers, Patents and Commercialization Stage</x:v>
      </x:c>
      <x:c r="E1" s="4" t="str">
        <x:v>Technology, Papers, Patents and Commercialization Stage</x:v>
      </x:c>
      <x:c r="F1" s="4" t="str">
        <x:v>Technology, Papers, Patents and Commercialization Stage</x:v>
      </x:c>
      <x:c r="G1" s="4" t="str">
        <x:v>Technology, Papers, Patents and Commercialization Stage</x:v>
      </x:c>
      <x:c r="H1" s="4" t="str">
        <x:v>Technology, Papers, Patents and Commercialization Stage</x:v>
      </x:c>
      <x:c r="I1" s="4" t="str">
        <x:v>Technology, Papers, Patents and Commercialization Stage</x:v>
      </x:c>
      <x:c r="J1" s="4" t="str">
        <x:v>Technology, Papers, Patents and Commercialization Stage</x:v>
      </x:c>
      <x:c r="K1" s="4" t="str">
        <x:v>Technology, Papers, Patents and Commercialization Stage</x:v>
      </x:c>
      <x:c r="L1" s="4" t="str">
        <x:v>Technology, Papers, Patents and Commercialization Stage</x:v>
      </x:c>
      <x:c r="M1" s="4" t="str">
        <x:v>Technology, Papers, Patents and Commercialization Stage</x:v>
      </x:c>
    </x:row>
    <x:row r="2" ht="36" customHeight="1">
      <x:c r="A2" s="11" t="str">
        <x:v>Technology permission follows paper/patent/standard → prototype → evaluation → sample → qualification → production → material revenue.</x:v>
      </x:c>
      <x:c r="B2" s="11" t="str">
        <x:v>Technology permission follows paper/patent/standard → prototype → evaluation → sample → qualification → production → material revenue.</x:v>
      </x:c>
      <x:c r="C2" s="11" t="str">
        <x:v>Technology permission follows paper/patent/standard → prototype → evaluation → sample → qualification → production → material revenue.</x:v>
      </x:c>
      <x:c r="D2" s="11" t="str">
        <x:v>Technology permission follows paper/patent/standard → prototype → evaluation → sample → qualification → production → material revenue.</x:v>
      </x:c>
      <x:c r="E2" s="11" t="str">
        <x:v>Technology permission follows paper/patent/standard → prototype → evaluation → sample → qualification → production → material revenue.</x:v>
      </x:c>
      <x:c r="F2" s="11" t="str">
        <x:v>Technology permission follows paper/patent/standard → prototype → evaluation → sample → qualification → production → material revenue.</x:v>
      </x:c>
      <x:c r="G2" s="11" t="str">
        <x:v>Technology permission follows paper/patent/standard → prototype → evaluation → sample → qualification → production → material revenue.</x:v>
      </x:c>
      <x:c r="H2" s="11" t="str">
        <x:v>Technology permission follows paper/patent/standard → prototype → evaluation → sample → qualification → production → material revenue.</x:v>
      </x:c>
      <x:c r="I2" s="11" t="str">
        <x:v>Technology permission follows paper/patent/standard → prototype → evaluation → sample → qualification → production → material revenue.</x:v>
      </x:c>
      <x:c r="J2" s="11" t="str">
        <x:v>Technology permission follows paper/patent/standard → prototype → evaluation → sample → qualification → production → material revenue.</x:v>
      </x:c>
      <x:c r="K2" s="11" t="str">
        <x:v>Technology permission follows paper/patent/standard → prototype → evaluation → sample → qualification → production → material revenue.</x:v>
      </x:c>
      <x:c r="L2" s="11" t="str">
        <x:v>Technology permission follows paper/patent/standard → prototype → evaluation → sample → qualification → production → material revenue.</x:v>
      </x:c>
      <x:c r="M2" s="11" t="str">
        <x:v>Technology permission follows paper/patent/standard → prototype → evaluation → sample → qualification → production → material revenue.</x:v>
      </x:c>
    </x:row>
    <x:row r="4" ht="28" customHeight="1">
      <x:c r="A4" s="26" t="str">
        <x:v>Technology / Product</x:v>
      </x:c>
      <x:c r="B4" s="26" t="str">
        <x:v>Evidence type</x:v>
      </x:c>
      <x:c r="C4" s="26" t="str">
        <x:v>Technical claim</x:v>
      </x:c>
      <x:c r="D4" s="26" t="str">
        <x:v>Stage</x:v>
      </x:c>
      <x:c r="E4" s="26" t="str">
        <x:v>Stage probability</x:v>
      </x:c>
      <x:c r="F4" s="26" t="str">
        <x:v>Target customer</x:v>
      </x:c>
      <x:c r="G4" s="26" t="str">
        <x:v>Units / content</x:v>
      </x:c>
      <x:c r="H4" s="26" t="str">
        <x:v>ASP</x:v>
      </x:c>
      <x:c r="I4" s="26" t="str">
        <x:v>Cost / margin</x:v>
      </x:c>
      <x:c r="J4" s="26" t="str">
        <x:v>Revenue permission</x:v>
      </x:c>
      <x:c r="K4" s="26" t="str">
        <x:v>Source IDs</x:v>
      </x:c>
      <x:c r="L4" s="26" t="str">
        <x:v>Falsification</x:v>
      </x:c>
      <x:c r="M4" s="26" t="str">
        <x:v>Status</x:v>
      </x:c>
    </x:row>
    <x:row r="5" ht="54" customHeight="1">
      <x:c r="A5" s="44" t="str">
        <x:v>Core Gen 2</x:v>
      </x:c>
      <x:c r="B5" s="44" t="str">
        <x:v>Product + customer</x:v>
      </x:c>
      <x:c r="C5" s="44" t="str">
        <x:v>20% efficiency / lower cost</x:v>
      </x:c>
      <x:c r="D5" s="44" t="str">
        <x:v>production</x:v>
      </x:c>
      <x:c r="E5" s="62" t="n">
        <x:v>1</x:v>
      </x:c>
      <x:c r="F5" s="44" t="str">
        <x:v>Enterprise/channel</x:v>
      </x:c>
      <x:c r="G5" s="44" t="str">
        <x:v>Included in core</x:v>
      </x:c>
      <x:c r="H5" s="44" t="str">
        <x:v>$61</x:v>
      </x:c>
      <x:c r="I5" s="44" t="str">
        <x:v>Core GM</x:v>
      </x:c>
      <x:c r="J5" s="44" t="str">
        <x:v>Base</x:v>
      </x:c>
      <x:c r="K5" s="44" t="str">
        <x:v>SRC-PROD1;SRC-CUST1</x:v>
      </x:c>
      <x:c r="L5" s="44" t="str">
        <x:v>yield/customer issue</x:v>
      </x:c>
      <x:c r="M5" s="44" t="str">
        <x:v>accepted</x:v>
      </x:c>
    </x:row>
    <x:row r="6" ht="54" customHeight="1">
      <x:c r="A6" s="44" t="str">
        <x:v>New Accelerator</x:v>
      </x:c>
      <x:c r="B6" s="44" t="str">
        <x:v>Paper + prototype</x:v>
      </x:c>
      <x:c r="C6" s="44" t="str">
        <x:v>Higher performance per watt</x:v>
      </x:c>
      <x:c r="D6" s="44" t="str">
        <x:v>customer_evaluation</x:v>
      </x:c>
      <x:c r="E6" s="62" t="n">
        <x:v>0.35</x:v>
      </x:c>
      <x:c r="F6" s="44" t="str">
        <x:v>Cloud</x:v>
      </x:c>
      <x:c r="G6" s="44" t="str">
        <x:v>1.3 content</x:v>
      </x:c>
      <x:c r="H6" s="44" t="str">
        <x:v>$110</x:v>
      </x:c>
      <x:c r="I6" s="44" t="str">
        <x:v>Unknown</x:v>
      </x:c>
      <x:c r="J6" s="44" t="str">
        <x:v>Scenario only</x:v>
      </x:c>
      <x:c r="K6" s="44" t="str">
        <x:v>SRC-PAPER;SRC-DEMO</x:v>
      </x:c>
      <x:c r="L6" s="44" t="str">
        <x:v>qualification fails</x:v>
      </x:c>
      <x:c r="M6" s="44" t="str">
        <x:v>accepted</x:v>
      </x:c>
    </x:row>
    <x:row r="7" ht="54" customHeight="1">
      <x:c r="A7" s="44" t="str">
        <x:v>Next Standard</x:v>
      </x:c>
      <x:c r="B7" s="44" t="str">
        <x:v>Standard draft</x:v>
      </x:c>
      <x:c r="C7" s="44" t="str">
        <x:v>Potential ecosystem interoperability</x:v>
      </x:c>
      <x:c r="D7" s="44" t="str">
        <x:v>standard</x:v>
      </x:c>
      <x:c r="E7" s="62" t="n">
        <x:v>0.15</x:v>
      </x:c>
      <x:c r="F7" s="44" t="str">
        <x:v>Industry</x:v>
      </x:c>
      <x:c r="G7" s="44" t="str">
        <x:v>Not measurable</x:v>
      </x:c>
      <x:c r="H7" s="44" t="str"/>
      <x:c r="I7" s="44" t="str"/>
      <x:c r="J7" s="44" t="str">
        <x:v>Technical bound</x:v>
      </x:c>
      <x:c r="K7" s="44" t="str">
        <x:v>SRC-STD</x:v>
      </x:c>
      <x:c r="L7" s="44" t="str">
        <x:v>standard not adopted</x:v>
      </x:c>
      <x:c r="M7" s="44" t="str">
        <x:v>monitor</x:v>
      </x:c>
    </x:row>
    <x:row r="8" ht="54" customHeight="1">
      <x:c r="A8" s="44" t="str">
        <x:v>Patent family A</x:v>
      </x:c>
      <x:c r="B8" s="44" t="str">
        <x:v>Patent portfolio</x:v>
      </x:c>
      <x:c r="C8" s="44" t="str">
        <x:v>Control / reliability IP</x:v>
      </x:c>
      <x:c r="D8" s="44" t="str">
        <x:v>patent</x:v>
      </x:c>
      <x:c r="E8" s="62" t="n">
        <x:v>0.25</x:v>
      </x:c>
      <x:c r="F8" s="44" t="str">
        <x:v>Multiple</x:v>
      </x:c>
      <x:c r="G8" s="44" t="str">
        <x:v>Moat support</x:v>
      </x:c>
      <x:c r="H8" s="44" t="str"/>
      <x:c r="I8" s="44" t="str"/>
      <x:c r="J8" s="44" t="str">
        <x:v>Quality/moat only</x:v>
      </x:c>
      <x:c r="K8" s="44" t="str">
        <x:v>SRC-PAT</x:v>
      </x:c>
      <x:c r="L8" s="44" t="str">
        <x:v>invalidated / designed around</x:v>
      </x:c>
      <x:c r="M8" s="44" t="str">
        <x:v>accepted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5" hidden="0" customWidth="1"/>
    <x:col min="3" max="3" width="25" hidden="0" customWidth="1"/>
    <x:col min="4" max="4" width="35" hidden="0" customWidth="1"/>
    <x:col min="5" max="5" width="30" hidden="0" customWidth="1"/>
    <x:col min="6" max="6" width="16" hidden="0" customWidth="1"/>
    <x:col min="7" max="7" width="31" hidden="0" customWidth="1"/>
    <x:col min="8" max="8" width="27" hidden="0" customWidth="1"/>
    <x:col min="9" max="9" width="14" hidden="0" customWidth="1"/>
    <x:col min="10" max="10" width="16" hidden="0" customWidth="1"/>
  </x:cols>
  <x:sheetData>
    <x:row r="1" ht="28" customHeight="1">
      <x:c r="A1" s="4" t="str">
        <x:v>Company Quality, Management and Moat</x:v>
      </x:c>
      <x:c r="B1" s="4" t="str">
        <x:v>Company Quality, Management and Moat</x:v>
      </x:c>
      <x:c r="C1" s="4" t="str">
        <x:v>Company Quality, Management and Moat</x:v>
      </x:c>
      <x:c r="D1" s="4" t="str">
        <x:v>Company Quality, Management and Moat</x:v>
      </x:c>
      <x:c r="E1" s="4" t="str">
        <x:v>Company Quality, Management and Moat</x:v>
      </x:c>
      <x:c r="F1" s="4" t="str">
        <x:v>Company Quality, Management and Moat</x:v>
      </x:c>
      <x:c r="G1" s="4" t="str">
        <x:v>Company Quality, Management and Moat</x:v>
      </x:c>
      <x:c r="H1" s="4" t="str">
        <x:v>Company Quality, Management and Moat</x:v>
      </x:c>
      <x:c r="I1" s="4" t="str">
        <x:v>Company Quality, Management and Moat</x:v>
      </x:c>
      <x:c r="J1" s="4" t="str">
        <x:v>Company Quality, Management and Moat</x:v>
      </x:c>
    </x:row>
    <x:row r="2" ht="36" customHeight="1">
      <x:c r="A2" s="11" t="str">
        <x:v>Scores do not replace evidence. Each moat must identify an economic mechanism, durability and failure condition.</x:v>
      </x:c>
      <x:c r="B2" s="11" t="str">
        <x:v>Scores do not replace evidence. Each moat must identify an economic mechanism, durability and failure condition.</x:v>
      </x:c>
      <x:c r="C2" s="11" t="str">
        <x:v>Scores do not replace evidence. Each moat must identify an economic mechanism, durability and failure condition.</x:v>
      </x:c>
      <x:c r="D2" s="11" t="str">
        <x:v>Scores do not replace evidence. Each moat must identify an economic mechanism, durability and failure condition.</x:v>
      </x:c>
      <x:c r="E2" s="11" t="str">
        <x:v>Scores do not replace evidence. Each moat must identify an economic mechanism, durability and failure condition.</x:v>
      </x:c>
      <x:c r="F2" s="11" t="str">
        <x:v>Scores do not replace evidence. Each moat must identify an economic mechanism, durability and failure condition.</x:v>
      </x:c>
      <x:c r="G2" s="11" t="str">
        <x:v>Scores do not replace evidence. Each moat must identify an economic mechanism, durability and failure condition.</x:v>
      </x:c>
      <x:c r="H2" s="11" t="str">
        <x:v>Scores do not replace evidence. Each moat must identify an economic mechanism, durability and failure condition.</x:v>
      </x:c>
      <x:c r="I2" s="11" t="str">
        <x:v>Scores do not replace evidence. Each moat must identify an economic mechanism, durability and failure condition.</x:v>
      </x:c>
      <x:c r="J2" s="11" t="str">
        <x:v>Scores do not replace evidence. Each moat must identify an economic mechanism, durability and failure condition.</x:v>
      </x:c>
    </x:row>
    <x:row r="4" ht="28" customHeight="1">
      <x:c r="A4" s="26" t="str">
        <x:v>Dimension</x:v>
      </x:c>
      <x:c r="B4" s="26" t="str">
        <x:v>Score (0-5)</x:v>
      </x:c>
      <x:c r="C4" s="26" t="str">
        <x:v>Evidence IDs</x:v>
      </x:c>
      <x:c r="D4" s="26" t="str">
        <x:v>Economic mechanism</x:v>
      </x:c>
      <x:c r="E4" s="26" t="str">
        <x:v>Observed proof</x:v>
      </x:c>
      <x:c r="F4" s="26" t="str">
        <x:v>Durability</x:v>
      </x:c>
      <x:c r="G4" s="26" t="str">
        <x:v>Failure condition</x:v>
      </x:c>
      <x:c r="H4" s="26" t="str">
        <x:v>Financial permission</x:v>
      </x:c>
      <x:c r="I4" s="26" t="str">
        <x:v>Confidence</x:v>
      </x:c>
      <x:c r="J4" s="26" t="str">
        <x:v>Reviewer</x:v>
      </x:c>
    </x:row>
    <x:row r="5" ht="52" customHeight="1">
      <x:c r="A5" s="44" t="str">
        <x:v>Management execution</x:v>
      </x:c>
      <x:c r="B5" s="66" t="n">
        <x:v>3.5</x:v>
      </x:c>
      <x:c r="C5" s="44" t="str">
        <x:v>SRC-CALL;SRC-HIST</x:v>
      </x:c>
      <x:c r="D5" s="44" t="str">
        <x:v>Forecast credibility and product cadence</x:v>
      </x:c>
      <x:c r="E5" s="44" t="str">
        <x:v>Guidance / launches</x:v>
      </x:c>
      <x:c r="F5" s="44" t="str">
        <x:v>medium</x:v>
      </x:c>
      <x:c r="G5" s="44" t="str">
        <x:v>repeated misses</x:v>
      </x:c>
      <x:c r="H5" s="44" t="str">
        <x:v>normalized margin / scenario</x:v>
      </x:c>
      <x:c r="I5" s="44" t="str">
        <x:v>medium</x:v>
      </x:c>
      <x:c r="J5" s="44" t="str">
        <x:v>GPTPro</x:v>
      </x:c>
    </x:row>
    <x:row r="6" ht="52" customHeight="1">
      <x:c r="A6" s="44" t="str">
        <x:v>Switching costs</x:v>
      </x:c>
      <x:c r="B6" s="66" t="n">
        <x:v>3</x:v>
      </x:c>
      <x:c r="C6" s="44" t="str">
        <x:v>SRC-CUST;SRC-PROD</x:v>
      </x:c>
      <x:c r="D6" s="44" t="str">
        <x:v>Integration and qualification</x:v>
      </x:c>
      <x:c r="E6" s="44" t="str">
        <x:v>renewals / redesign cost</x:v>
      </x:c>
      <x:c r="F6" s="44" t="str">
        <x:v>medium</x:v>
      </x:c>
      <x:c r="G6" s="44" t="str">
        <x:v>standardization lowers switching</x:v>
      </x:c>
      <x:c r="H6" s="44" t="str">
        <x:v>share durability</x:v>
      </x:c>
      <x:c r="I6" s="44" t="str">
        <x:v>medium</x:v>
      </x:c>
      <x:c r="J6" s="44" t="str">
        <x:v>GPTPro</x:v>
      </x:c>
    </x:row>
    <x:row r="7" ht="52" customHeight="1">
      <x:c r="A7" s="44" t="str">
        <x:v>Technology / IP</x:v>
      </x:c>
      <x:c r="B7" s="66" t="n">
        <x:v>3.5</x:v>
      </x:c>
      <x:c r="C7" s="44" t="str">
        <x:v>SRC-PAT;SRC-PAPER</x:v>
      </x:c>
      <x:c r="D7" s="44" t="str">
        <x:v>Performance, reliability, patents</x:v>
      </x:c>
      <x:c r="E7" s="44" t="str">
        <x:v>benchmarks / portfolio</x:v>
      </x:c>
      <x:c r="F7" s="44" t="str">
        <x:v>medium</x:v>
      </x:c>
      <x:c r="G7" s="44" t="str">
        <x:v>designed around</x:v>
      </x:c>
      <x:c r="H7" s="44" t="str">
        <x:v>share / margin</x:v>
      </x:c>
      <x:c r="I7" s="44" t="str">
        <x:v>medium</x:v>
      </x:c>
      <x:c r="J7" s="44" t="str">
        <x:v>GPTPro</x:v>
      </x:c>
    </x:row>
    <x:row r="8" ht="52" customHeight="1">
      <x:c r="A8" s="44" t="str">
        <x:v>Distribution / ecosystem</x:v>
      </x:c>
      <x:c r="B8" s="66" t="n">
        <x:v>3</x:v>
      </x:c>
      <x:c r="C8" s="44" t="str">
        <x:v>SRC-CHAN</x:v>
      </x:c>
      <x:c r="D8" s="44" t="str">
        <x:v>Access and customer workflow</x:v>
      </x:c>
      <x:c r="E8" s="44" t="str">
        <x:v>channel reach</x:v>
      </x:c>
      <x:c r="F8" s="44" t="str">
        <x:v>medium</x:v>
      </x:c>
      <x:c r="G8" s="44" t="str">
        <x:v>channel concentration</x:v>
      </x:c>
      <x:c r="H8" s="44" t="str">
        <x:v>growth / risk</x:v>
      </x:c>
      <x:c r="I8" s="44" t="str">
        <x:v>medium</x:v>
      </x:c>
      <x:c r="J8" s="44" t="str">
        <x:v>GPTPro</x:v>
      </x:c>
    </x:row>
    <x:row r="9" ht="52" customHeight="1">
      <x:c r="A9" s="44" t="str">
        <x:v>Scale / cost</x:v>
      </x:c>
      <x:c r="B9" s="66" t="n">
        <x:v>3</x:v>
      </x:c>
      <x:c r="C9" s="44" t="str">
        <x:v>SRC-SUP</x:v>
      </x:c>
      <x:c r="D9" s="44" t="str">
        <x:v>Purchasing and manufacturing leverage</x:v>
      </x:c>
      <x:c r="E9" s="44" t="str">
        <x:v>unit cost trend</x:v>
      </x:c>
      <x:c r="F9" s="44" t="str">
        <x:v>medium</x:v>
      </x:c>
      <x:c r="G9" s="44" t="str">
        <x:v>utilization collapse</x:v>
      </x:c>
      <x:c r="H9" s="44" t="str">
        <x:v>GM / FCF</x:v>
      </x:c>
      <x:c r="I9" s="44" t="str">
        <x:v>medium</x:v>
      </x:c>
      <x:c r="J9" s="44" t="str">
        <x:v>GPTPro</x:v>
      </x:c>
    </x:row>
    <x:row r="10" ht="52" customHeight="1">
      <x:c r="A10" s="44" t="str">
        <x:v>Balance-sheet resilience</x:v>
      </x:c>
      <x:c r="B10" s="66" t="n">
        <x:v>4</x:v>
      </x:c>
      <x:c r="C10" s="44" t="str">
        <x:v>SRC-FY0</x:v>
      </x:c>
      <x:c r="D10" s="44" t="str">
        <x:v>Funding and downside survival</x:v>
      </x:c>
      <x:c r="E10" s="44" t="str">
        <x:v>cash / debt</x:v>
      </x:c>
      <x:c r="F10" s="44" t="str">
        <x:v>high</x:v>
      </x:c>
      <x:c r="G10" s="44" t="str">
        <x:v>large acquisition / losses</x:v>
      </x:c>
      <x:c r="H10" s="44" t="str">
        <x:v>tail probability</x:v>
      </x:c>
      <x:c r="I10" s="44" t="str">
        <x:v>high</x:v>
      </x:c>
      <x:c r="J10" s="44" t="str">
        <x:v>GPTPro</x:v>
      </x:c>
    </x:row>
    <x:row r="13" ht="21" customHeight="1">
      <x:c r="A13" s="18" t="str">
        <x:v>Composite durability</x:v>
      </x:c>
      <x:c r="B13" s="18" t="str">
        <x:v>Composite durability</x:v>
      </x:c>
      <x:c r="C13" s="18" t="str">
        <x:v>Composite durability</x:v>
      </x:c>
      <x:c r="D13" s="18" t="str">
        <x:v>Composite durability</x:v>
      </x:c>
      <x:c r="E13" s="18" t="str">
        <x:v>Composite durability</x:v>
      </x:c>
      <x:c r="F13" s="18" t="str">
        <x:v>Composite durability</x:v>
      </x:c>
      <x:c r="G13" s="18" t="str">
        <x:v>Composite durability</x:v>
      </x:c>
      <x:c r="H13" s="18" t="str">
        <x:v>Composite durability</x:v>
      </x:c>
      <x:c r="I13" s="18" t="str">
        <x:v>Composite durability</x:v>
      </x:c>
      <x:c r="J13" s="18" t="str">
        <x:v>Composite durability</x:v>
      </x:c>
    </x:row>
    <x:row r="14" ht="28" customHeight="1">
      <x:c r="A14" s="26" t="str">
        <x:v>Metric</x:v>
      </x:c>
      <x:c r="B14" s="26" t="str">
        <x:v>Value</x:v>
      </x:c>
      <x:c r="C14" s="26" t="str">
        <x:v>Use</x:v>
      </x:c>
    </x:row>
    <x:row r="15">
      <x:c r="A15" t="str">
        <x:v>Average quality score</x:v>
      </x:c>
      <x:c r="B15" t="n">
        <x:f>AVERAGE(B5:B10)</x:f>
        <x:v>3.3333333333333335</x:v>
      </x:c>
      <x:c r="C15" t="str">
        <x:v>Long-term normalized economics</x:v>
      </x:c>
    </x:row>
    <x:row r="16">
      <x:c r="A16" t="str">
        <x:v>Evidence-weighted durability factor</x:v>
      </x:c>
      <x:c r="B16" s="50" t="n">
        <x:f>B15/5</x:f>
        <x:v>0.6666666666666667</x:v>
      </x:c>
      <x:c r="C16" t="str">
        <x:v>Terminal margin / multiple sensitivity</x:v>
      </x:c>
    </x:row>
    <x:row r="17">
      <x:c r="A17" t="str">
        <x:v>Readiness</x:v>
      </x:c>
      <x:c r="B17" t="str">
        <x:v>screen-grade</x:v>
      </x:c>
      <x:c r="C17" t="str">
        <x:v>Cap if material evidence remains unknown</x:v>
      </x:c>
    </x:row>
  </x:sheetData>
  <x:mergeCells>
    <x:mergeCell ref="A1:J1"/>
    <x:mergeCell ref="A2:J2"/>
    <x:mergeCell ref="A13:J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7" hidden="0" customWidth="1"/>
    <x:col min="4" max="4" width="12" hidden="0" customWidth="1"/>
    <x:col min="5" max="5" width="18" hidden="0" customWidth="1"/>
    <x:col min="6" max="6" width="22" hidden="0" customWidth="1"/>
    <x:col min="7" max="7" width="26" hidden="0" customWidth="1"/>
    <x:col min="8" max="8" width="29" hidden="0" customWidth="1"/>
    <x:col min="9" max="9" width="16" hidden="0" customWidth="1"/>
  </x:cols>
  <x:sheetData>
    <x:row r="1" ht="28" customHeight="1">
      <x:c r="A1" s="4" t="str">
        <x:v>Operating, Accounting and Valuation Assumptions</x:v>
      </x:c>
      <x:c r="B1" s="4" t="str">
        <x:v>Operating, Accounting and Valuation Assumptions</x:v>
      </x:c>
      <x:c r="C1" s="4" t="str">
        <x:v>Operating, Accounting and Valuation Assumptions</x:v>
      </x:c>
      <x:c r="D1" s="4" t="str">
        <x:v>Operating, Accounting and Valuation Assumptions</x:v>
      </x:c>
      <x:c r="E1" s="4" t="str">
        <x:v>Operating, Accounting and Valuation Assumptions</x:v>
      </x:c>
      <x:c r="F1" s="4" t="str">
        <x:v>Operating, Accounting and Valuation Assumptions</x:v>
      </x:c>
      <x:c r="G1" s="4" t="str">
        <x:v>Operating, Accounting and Valuation Assumptions</x:v>
      </x:c>
      <x:c r="H1" s="4" t="str">
        <x:v>Operating, Accounting and Valuation Assumptions</x:v>
      </x:c>
      <x:c r="I1" s="4" t="str">
        <x:v>Operating, Accounting and Valuation Assumptions</x:v>
      </x:c>
    </x:row>
    <x:row r="2" ht="36" customHeight="1">
      <x:c r="A2" s="11" t="str">
        <x:v>All material inputs must reference evidence and support status. Example values drive the formula model.</x:v>
      </x:c>
      <x:c r="B2" s="11" t="str">
        <x:v>All material inputs must reference evidence and support status. Example values drive the formula model.</x:v>
      </x:c>
      <x:c r="C2" s="11" t="str">
        <x:v>All material inputs must reference evidence and support status. Example values drive the formula model.</x:v>
      </x:c>
      <x:c r="D2" s="11" t="str">
        <x:v>All material inputs must reference evidence and support status. Example values drive the formula model.</x:v>
      </x:c>
      <x:c r="E2" s="11" t="str">
        <x:v>All material inputs must reference evidence and support status. Example values drive the formula model.</x:v>
      </x:c>
      <x:c r="F2" s="11" t="str">
        <x:v>All material inputs must reference evidence and support status. Example values drive the formula model.</x:v>
      </x:c>
      <x:c r="G2" s="11" t="str">
        <x:v>All material inputs must reference evidence and support status. Example values drive the formula model.</x:v>
      </x:c>
      <x:c r="H2" s="11" t="str">
        <x:v>All material inputs must reference evidence and support status. Example values drive the formula model.</x:v>
      </x:c>
      <x:c r="I2" s="11" t="str">
        <x:v>All material inputs must reference evidence and support status. Example values drive the formula model.</x:v>
      </x:c>
    </x:row>
    <x:row r="4" ht="28" customHeight="1">
      <x:c r="A4" t="str">
        <x:v>Input</x:v>
      </x:c>
      <x:c r="B4" s="26" t="str">
        <x:v>FY0</x:v>
      </x:c>
      <x:c r="C4" s="26" t="str">
        <x:v>FY+1</x:v>
      </x:c>
      <x:c r="D4" s="26" t="str">
        <x:v>FY+2</x:v>
      </x:c>
      <x:c r="E4" s="26" t="str">
        <x:v>FY+3</x:v>
      </x:c>
      <x:c r="F4" s="26" t="str">
        <x:v>FY+4</x:v>
      </x:c>
      <x:c r="G4" s="26" t="str">
        <x:v>FY+5</x:v>
      </x:c>
    </x:row>
    <x:row r="5">
      <x:c r="A5" t="str">
        <x:v>R&amp;D ($mm)</x:v>
      </x:c>
      <x:c r="B5" s="48" t="n">
        <x:v>145</x:v>
      </x:c>
      <x:c r="C5" s="48" t="n">
        <x:v>160</x:v>
      </x:c>
      <x:c r="D5" s="48" t="n">
        <x:v>178</x:v>
      </x:c>
      <x:c r="E5" s="48" t="n">
        <x:v>195</x:v>
      </x:c>
      <x:c r="F5" s="48" t="n">
        <x:v>210</x:v>
      </x:c>
      <x:c r="G5" s="48" t="n">
        <x:v>225</x:v>
      </x:c>
    </x:row>
    <x:row r="6">
      <x:c r="A6" t="str">
        <x:v>Sales &amp; Marketing ($mm)</x:v>
      </x:c>
      <x:c r="B6" s="48" t="n">
        <x:v>115</x:v>
      </x:c>
      <x:c r="C6" s="48" t="n">
        <x:v>127</x:v>
      </x:c>
      <x:c r="D6" s="48" t="n">
        <x:v>140</x:v>
      </x:c>
      <x:c r="E6" s="48" t="n">
        <x:v>152</x:v>
      </x:c>
      <x:c r="F6" s="48" t="n">
        <x:v>165</x:v>
      </x:c>
      <x:c r="G6" s="48" t="n">
        <x:v>178</x:v>
      </x:c>
    </x:row>
    <x:row r="7">
      <x:c r="A7" t="str">
        <x:v>G&amp;A ($mm)</x:v>
      </x:c>
      <x:c r="B7" s="48" t="n">
        <x:v>88</x:v>
      </x:c>
      <x:c r="C7" s="48" t="n">
        <x:v>94</x:v>
      </x:c>
      <x:c r="D7" s="48" t="n">
        <x:v>100</x:v>
      </x:c>
      <x:c r="E7" s="48" t="n">
        <x:v>107</x:v>
      </x:c>
      <x:c r="F7" s="48" t="n">
        <x:v>114</x:v>
      </x:c>
      <x:c r="G7" s="48" t="n">
        <x:v>121</x:v>
      </x:c>
    </x:row>
    <x:row r="8">
      <x:c r="A8" t="str">
        <x:v>D&amp;A ($mm)</x:v>
      </x:c>
      <x:c r="B8" s="48" t="n">
        <x:v>42</x:v>
      </x:c>
      <x:c r="C8" s="48" t="n">
        <x:v>47</x:v>
      </x:c>
      <x:c r="D8" s="48" t="n">
        <x:v>52</x:v>
      </x:c>
      <x:c r="E8" s="48" t="n">
        <x:v>57</x:v>
      </x:c>
      <x:c r="F8" s="48" t="n">
        <x:v>62</x:v>
      </x:c>
      <x:c r="G8" s="48" t="n">
        <x:v>67</x:v>
      </x:c>
    </x:row>
    <x:row r="9">
      <x:c r="A9" t="str">
        <x:v>SBC ($mm)</x:v>
      </x:c>
      <x:c r="B9" s="48" t="n">
        <x:v>38</x:v>
      </x:c>
      <x:c r="C9" s="48" t="n">
        <x:v>45</x:v>
      </x:c>
      <x:c r="D9" s="48" t="n">
        <x:v>52</x:v>
      </x:c>
      <x:c r="E9" s="48" t="n">
        <x:v>58</x:v>
      </x:c>
      <x:c r="F9" s="48" t="n">
        <x:v>64</x:v>
      </x:c>
      <x:c r="G9" s="48" t="n">
        <x:v>70</x:v>
      </x:c>
    </x:row>
    <x:row r="10">
      <x:c r="A10" t="str">
        <x:v>CapEx ($mm)</x:v>
      </x:c>
      <x:c r="B10" s="48" t="n">
        <x:v>82</x:v>
      </x:c>
      <x:c r="C10" s="48" t="n">
        <x:v>95</x:v>
      </x:c>
      <x:c r="D10" s="48" t="n">
        <x:v>110</x:v>
      </x:c>
      <x:c r="E10" s="48" t="n">
        <x:v>125</x:v>
      </x:c>
      <x:c r="F10" s="48" t="n">
        <x:v>140</x:v>
      </x:c>
      <x:c r="G10" s="48" t="n">
        <x:v>155</x:v>
      </x:c>
    </x:row>
    <x:row r="11">
      <x:c r="A11" t="str">
        <x:v>Tax rate</x:v>
      </x:c>
      <x:c r="B11" s="54" t="n">
        <x:v>0.17674418604651163</x:v>
      </x:c>
      <x:c r="C11" s="54" t="n">
        <x:v>0.18</x:v>
      </x:c>
      <x:c r="D11" s="54" t="n">
        <x:v>0.19</x:v>
      </x:c>
      <x:c r="E11" s="54" t="n">
        <x:v>0.19</x:v>
      </x:c>
      <x:c r="F11" s="54" t="n">
        <x:v>0.2</x:v>
      </x:c>
      <x:c r="G11" s="54" t="n">
        <x:v>0.2</x:v>
      </x:c>
    </x:row>
    <x:row r="12">
      <x:c r="A12" t="str">
        <x:v>DSO</x:v>
      </x:c>
      <x:c r="B12" s="64" t="n">
        <x:v>62</x:v>
      </x:c>
      <x:c r="C12" s="64" t="n">
        <x:v>60</x:v>
      </x:c>
      <x:c r="D12" s="64" t="n">
        <x:v>58</x:v>
      </x:c>
      <x:c r="E12" s="64" t="n">
        <x:v>56</x:v>
      </x:c>
      <x:c r="F12" s="64" t="n">
        <x:v>55</x:v>
      </x:c>
      <x:c r="G12" s="64" t="n">
        <x:v>54</x:v>
      </x:c>
    </x:row>
    <x:row r="13">
      <x:c r="A13" t="str">
        <x:v>DIO</x:v>
      </x:c>
      <x:c r="B13" s="64" t="n">
        <x:v>82</x:v>
      </x:c>
      <x:c r="C13" s="64" t="n">
        <x:v>78</x:v>
      </x:c>
      <x:c r="D13" s="64" t="n">
        <x:v>74</x:v>
      </x:c>
      <x:c r="E13" s="64" t="n">
        <x:v>70</x:v>
      </x:c>
      <x:c r="F13" s="64" t="n">
        <x:v>68</x:v>
      </x:c>
      <x:c r="G13" s="64" t="n">
        <x:v>66</x:v>
      </x:c>
    </x:row>
    <x:row r="14">
      <x:c r="A14" t="str">
        <x:v>DPO</x:v>
      </x:c>
      <x:c r="B14" s="64" t="n">
        <x:v>68</x:v>
      </x:c>
      <x:c r="C14" s="64" t="n">
        <x:v>66</x:v>
      </x:c>
      <x:c r="D14" s="64" t="n">
        <x:v>64</x:v>
      </x:c>
      <x:c r="E14" s="64" t="n">
        <x:v>63</x:v>
      </x:c>
      <x:c r="F14" s="64" t="n">
        <x:v>62</x:v>
      </x:c>
      <x:c r="G14" s="64" t="n">
        <x:v>62</x:v>
      </x:c>
    </x:row>
    <x:row r="15">
      <x:c r="A15" t="str">
        <x:v>Acquisitions ($mm)</x:v>
      </x:c>
      <x:c r="B15" s="48" t="n">
        <x:v>0</x:v>
      </x:c>
      <x:c r="C15" s="48" t="n">
        <x:v>0</x:v>
      </x:c>
      <x:c r="D15" s="48" t="n">
        <x:v>0</x:v>
      </x:c>
      <x:c r="E15" s="48" t="n">
        <x:v>0</x:v>
      </x:c>
      <x:c r="F15" s="48" t="n">
        <x:v>0</x:v>
      </x:c>
      <x:c r="G15" s="48" t="n">
        <x:v>0</x:v>
      </x:c>
    </x:row>
    <x:row r="16">
      <x:c r="A16" t="str">
        <x:v>Buybacks ($mm)</x:v>
      </x:c>
      <x:c r="B16" s="48" t="n">
        <x:v>0</x:v>
      </x:c>
      <x:c r="C16" s="48" t="n">
        <x:v>20</x:v>
      </x:c>
      <x:c r="D16" s="48" t="n">
        <x:v>30</x:v>
      </x:c>
      <x:c r="E16" s="48" t="n">
        <x:v>40</x:v>
      </x:c>
      <x:c r="F16" s="48" t="n">
        <x:v>50</x:v>
      </x:c>
      <x:c r="G16" s="48" t="n">
        <x:v>60</x:v>
      </x:c>
    </x:row>
    <x:row r="17">
      <x:c r="A17" t="str">
        <x:v>Debt issuance / (repayment)</x:v>
      </x:c>
      <x:c r="B17" s="48" t="n">
        <x:v>0</x:v>
      </x:c>
      <x:c r="C17" s="48" t="n">
        <x:v>0</x:v>
      </x:c>
      <x:c r="D17" s="48" t="n">
        <x:v>0</x:v>
      </x:c>
      <x:c r="E17" s="48" t="n">
        <x:v>0</x:v>
      </x:c>
      <x:c r="F17" s="48" t="n">
        <x:v>0</x:v>
      </x:c>
      <x:c r="G17" s="48" t="n">
        <x:v>0</x:v>
      </x:c>
    </x:row>
    <x:row r="18">
      <x:c r="A18" t="str">
        <x:v>WACC</x:v>
      </x:c>
      <x:c r="B18" s="54" t="n">
        <x:v>0.1</x:v>
      </x:c>
      <x:c r="C18" s="54" t="n">
        <x:v>0.1</x:v>
      </x:c>
      <x:c r="D18" s="54" t="n">
        <x:v>0.1</x:v>
      </x:c>
      <x:c r="E18" s="54" t="n">
        <x:v>0.1</x:v>
      </x:c>
      <x:c r="F18" s="54" t="n">
        <x:v>0.1</x:v>
      </x:c>
      <x:c r="G18" s="54" t="n">
        <x:v>0.1</x:v>
      </x:c>
    </x:row>
    <x:row r="19">
      <x:c r="A19" t="str">
        <x:v>Terminal growth</x:v>
      </x:c>
      <x:c r="B19" s="54" t="n">
        <x:v>0.03</x:v>
      </x:c>
      <x:c r="C19" s="54" t="n">
        <x:v>0.03</x:v>
      </x:c>
      <x:c r="D19" s="54" t="n">
        <x:v>0.03</x:v>
      </x:c>
      <x:c r="E19" s="54" t="n">
        <x:v>0.03</x:v>
      </x:c>
      <x:c r="F19" s="54" t="n">
        <x:v>0.03</x:v>
      </x:c>
      <x:c r="G19" s="54" t="n">
        <x:v>0.03</x:v>
      </x:c>
    </x:row>
    <x:row r="20">
      <x:c r="A20" t="str">
        <x:v>Exit EBIT multiple</x:v>
      </x:c>
      <x:c r="B20" s="68" t="n">
        <x:v>14</x:v>
      </x:c>
      <x:c r="C20" s="68" t="n">
        <x:v>14</x:v>
      </x:c>
      <x:c r="D20" s="68" t="n">
        <x:v>14</x:v>
      </x:c>
      <x:c r="E20" s="68" t="n">
        <x:v>14</x:v>
      </x:c>
      <x:c r="F20" s="68" t="n">
        <x:v>14</x:v>
      </x:c>
      <x:c r="G20" s="68" t="n">
        <x:v>14</x:v>
      </x:c>
    </x:row>
    <x:row r="21">
      <x:c r="A21" t="str">
        <x:v>Scenario probability — Bear</x:v>
      </x:c>
      <x:c r="B21" s="54" t="n">
        <x:v>0.2</x:v>
      </x:c>
      <x:c r="C21" s="54" t="n">
        <x:v>0.2</x:v>
      </x:c>
      <x:c r="D21" s="54" t="n">
        <x:v>0.2</x:v>
      </x:c>
      <x:c r="E21" s="54" t="n">
        <x:v>0.2</x:v>
      </x:c>
      <x:c r="F21" s="54" t="n">
        <x:v>0.2</x:v>
      </x:c>
      <x:c r="G21" s="54" t="n">
        <x:v>0.2</x:v>
      </x:c>
    </x:row>
    <x:row r="22">
      <x:c r="A22" t="str">
        <x:v>Scenario probability — Base</x:v>
      </x:c>
      <x:c r="B22" s="54" t="n">
        <x:v>0.55</x:v>
      </x:c>
      <x:c r="C22" s="54" t="n">
        <x:v>0.55</x:v>
      </x:c>
      <x:c r="D22" s="54" t="n">
        <x:v>0.55</x:v>
      </x:c>
      <x:c r="E22" s="54" t="n">
        <x:v>0.55</x:v>
      </x:c>
      <x:c r="F22" s="54" t="n">
        <x:v>0.55</x:v>
      </x:c>
      <x:c r="G22" s="54" t="n">
        <x:v>0.55</x:v>
      </x:c>
    </x:row>
    <x:row r="23">
      <x:c r="A23" t="str">
        <x:v>Scenario probability — Bull</x:v>
      </x:c>
      <x:c r="B23" s="54" t="n">
        <x:v>0.2</x:v>
      </x:c>
      <x:c r="C23" s="54" t="n">
        <x:v>0.2</x:v>
      </x:c>
      <x:c r="D23" s="54" t="n">
        <x:v>0.2</x:v>
      </x:c>
      <x:c r="E23" s="54" t="n">
        <x:v>0.2</x:v>
      </x:c>
      <x:c r="F23" s="54" t="n">
        <x:v>0.2</x:v>
      </x:c>
      <x:c r="G23" s="54" t="n">
        <x:v>0.2</x:v>
      </x:c>
    </x:row>
    <x:row r="24">
      <x:c r="A24" t="str">
        <x:v>Scenario probability — Regime</x:v>
      </x:c>
      <x:c r="B24" s="54" t="n">
        <x:v>0.05</x:v>
      </x:c>
      <x:c r="C24" s="54" t="n">
        <x:v>0.05</x:v>
      </x:c>
      <x:c r="D24" s="54" t="n">
        <x:v>0.05</x:v>
      </x:c>
      <x:c r="E24" s="54" t="n">
        <x:v>0.05</x:v>
      </x:c>
      <x:c r="F24" s="54" t="n">
        <x:v>0.05</x:v>
      </x:c>
      <x:c r="G24" s="54" t="n">
        <x:v>0.05</x:v>
      </x:c>
    </x:row>
    <x:row r="27" ht="21" customHeight="1">
      <x:c r="A27" s="18" t="str">
        <x:v>Material assumption support</x:v>
      </x:c>
      <x:c r="B27" s="18" t="str">
        <x:v>Material assumption support</x:v>
      </x:c>
      <x:c r="C27" s="18" t="str">
        <x:v>Material assumption support</x:v>
      </x:c>
      <x:c r="D27" s="18" t="str">
        <x:v>Material assumption support</x:v>
      </x:c>
      <x:c r="E27" s="18" t="str">
        <x:v>Material assumption support</x:v>
      </x:c>
      <x:c r="F27" s="18" t="str">
        <x:v>Material assumption support</x:v>
      </x:c>
      <x:c r="G27" s="18" t="str">
        <x:v>Material assumption support</x:v>
      </x:c>
      <x:c r="H27" s="18" t="str">
        <x:v>Material assumption support</x:v>
      </x:c>
      <x:c r="I27" s="18" t="str">
        <x:v>Material assumption support</x:v>
      </x:c>
    </x:row>
    <x:row r="28" ht="28" customHeight="1">
      <x:c r="A28" s="26" t="str">
        <x:v>Assumption</x:v>
      </x:c>
      <x:c r="B28" s="26" t="str">
        <x:v>Materiality</x:v>
      </x:c>
      <x:c r="C28" s="26" t="str">
        <x:v>Support</x:v>
      </x:c>
      <x:c r="D28" s="26" t="str">
        <x:v>Clusters</x:v>
      </x:c>
      <x:c r="E28" s="26" t="str">
        <x:v>Allowed horizon</x:v>
      </x:c>
      <x:c r="F28" s="26" t="str">
        <x:v>Sensitivity</x:v>
      </x:c>
      <x:c r="G28" s="26" t="str">
        <x:v>Source IDs</x:v>
      </x:c>
      <x:c r="H28" s="26" t="str">
        <x:v>Falsification</x:v>
      </x:c>
      <x:c r="I28" s="26" t="str">
        <x:v>Owner</x:v>
      </x:c>
    </x:row>
    <x:row r="29">
      <x:c r="A29" s="44" t="str">
        <x:v>Core units / ASP</x:v>
      </x:c>
      <x:c r="B29" s="44" t="str">
        <x:v>high</x:v>
      </x:c>
      <x:c r="C29" s="44" t="str">
        <x:v>corroborated</x:v>
      </x:c>
      <x:c r="D29" s="44" t="n">
        <x:v>3</x:v>
      </x:c>
      <x:c r="E29" s="44" t="str">
        <x:v>FY+2</x:v>
      </x:c>
      <x:c r="F29" s="44" t="str">
        <x:v>Revenue / GM</x:v>
      </x:c>
      <x:c r="G29" s="44" t="str">
        <x:v>SRC-CUST;SRC-IND;SRC-CALL</x:v>
      </x:c>
      <x:c r="H29" s="44" t="str">
        <x:v>sell-through / pricing miss</x:v>
      </x:c>
      <x:c r="I29" s="44" t="str">
        <x:v>GPTPro</x:v>
      </x:c>
    </x:row>
    <x:row r="30">
      <x:c r="A30" s="44" t="str">
        <x:v>Service attach / ARPU</x:v>
      </x:c>
      <x:c r="B30" s="44" t="str">
        <x:v>medium</x:v>
      </x:c>
      <x:c r="C30" s="44" t="str">
        <x:v>single_source</x:v>
      </x:c>
      <x:c r="D30" s="44" t="n">
        <x:v>1</x:v>
      </x:c>
      <x:c r="E30" s="44" t="str">
        <x:v>FY+1</x:v>
      </x:c>
      <x:c r="F30" s="44" t="str">
        <x:v>Revenue / GM</x:v>
      </x:c>
      <x:c r="G30" s="44" t="str">
        <x:v>SRC-CALL</x:v>
      </x:c>
      <x:c r="H30" s="44" t="str">
        <x:v>renewal disclosure</x:v>
      </x:c>
      <x:c r="I30" s="44" t="str">
        <x:v>GPTPro</x:v>
      </x:c>
    </x:row>
    <x:row r="31">
      <x:c r="A31" s="44" t="str">
        <x:v>New product stage</x:v>
      </x:c>
      <x:c r="B31" s="44" t="str">
        <x:v>high</x:v>
      </x:c>
      <x:c r="C31" s="44" t="str">
        <x:v>human_required</x:v>
      </x:c>
      <x:c r="D31" s="44" t="n">
        <x:v>1</x:v>
      </x:c>
      <x:c r="E31" s="44" t="str">
        <x:v>Scenario only</x:v>
      </x:c>
      <x:c r="F31" s="44" t="str">
        <x:v>Revenue / GM</x:v>
      </x:c>
      <x:c r="G31" s="44" t="str">
        <x:v>SRC-PROD;SRC-PAPER</x:v>
      </x:c>
      <x:c r="H31" s="44" t="str">
        <x:v>qualification / order</x:v>
      </x:c>
      <x:c r="I31" s="44" t="str">
        <x:v>GPTPro</x:v>
      </x:c>
    </x:row>
    <x:row r="32">
      <x:c r="A32" s="44" t="str">
        <x:v>Opex leverage</x:v>
      </x:c>
      <x:c r="B32" s="44" t="str">
        <x:v>medium</x:v>
      </x:c>
      <x:c r="C32" s="44" t="str">
        <x:v>corroborated</x:v>
      </x:c>
      <x:c r="D32" s="44" t="n">
        <x:v>2</x:v>
      </x:c>
      <x:c r="E32" s="44" t="str">
        <x:v>FY+3</x:v>
      </x:c>
      <x:c r="F32" s="44" t="str">
        <x:v>Operating profit</x:v>
      </x:c>
      <x:c r="G32" s="44" t="str">
        <x:v>SRC-HIST;SRC-CALL</x:v>
      </x:c>
      <x:c r="H32" s="44" t="str">
        <x:v>hiring / acquisition</x:v>
      </x:c>
      <x:c r="I32" s="44" t="str">
        <x:v>GPTPro</x:v>
      </x:c>
    </x:row>
    <x:row r="33">
      <x:c r="A33" s="44" t="str">
        <x:v>Terminal durability</x:v>
      </x:c>
      <x:c r="B33" s="44" t="str">
        <x:v>high</x:v>
      </x:c>
      <x:c r="C33" s="44" t="str">
        <x:v>analyst_only</x:v>
      </x:c>
      <x:c r="D33" s="44" t="n">
        <x:v>0</x:v>
      </x:c>
      <x:c r="E33" s="44" t="str">
        <x:v>Long term</x:v>
      </x:c>
      <x:c r="F33" s="44" t="str">
        <x:v>Value</x:v>
      </x:c>
      <x:c r="G33" s="44" t="str">
        <x:v>SRC-MOAT</x:v>
      </x:c>
      <x:c r="H33" s="44" t="str">
        <x:v>competitive evidence</x:v>
      </x:c>
      <x:c r="I33" s="44" t="str">
        <x:v>Human</x:v>
      </x:c>
    </x:row>
  </x:sheetData>
  <x:mergeCells>
    <x:mergeCell ref="A1:I1"/>
    <x:mergeCell ref="A2:I2"/>
    <x:mergeCell ref="A27:I2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28" customHeight="1">
      <x:c r="A1" s="4" t="str">
        <x:v>FY+1 Quarterly Operating Model</x:v>
      </x:c>
      <x:c r="B1" s="4" t="str">
        <x:v>FY+1 Quarterly Operating Model</x:v>
      </x:c>
      <x:c r="C1" s="4" t="str">
        <x:v>FY+1 Quarterly Operating Model</x:v>
      </x:c>
      <x:c r="D1" s="4" t="str">
        <x:v>FY+1 Quarterly Operating Model</x:v>
      </x:c>
      <x:c r="E1" s="4" t="str">
        <x:v>FY+1 Quarterly Operating Model</x:v>
      </x:c>
      <x:c r="F1" s="4" t="str">
        <x:v>FY+1 Quarterly Operating Model</x:v>
      </x:c>
      <x:c r="G1" s="4" t="str">
        <x:v>FY+1 Quarterly Operating Model</x:v>
      </x:c>
      <x:c r="H1" s="4" t="str">
        <x:v>FY+1 Quarterly Operating Model</x:v>
      </x:c>
      <x:c r="I1" s="4" t="str">
        <x:v>FY+1 Quarterly Operating Model</x:v>
      </x:c>
      <x:c r="J1" s="4" t="str">
        <x:v>FY+1 Quarterly Operating Model</x:v>
      </x:c>
    </x:row>
    <x:row r="2" ht="36" customHeight="1">
      <x:c r="A2" s="11" t="str">
        <x:v>The first forecast year is built quarterly and ties to annual segment assumptions. Seasonality inputs are editable.</x:v>
      </x:c>
      <x:c r="B2" s="11" t="str">
        <x:v>The first forecast year is built quarterly and ties to annual segment assumptions. Seasonality inputs are editable.</x:v>
      </x:c>
      <x:c r="C2" s="11" t="str">
        <x:v>The first forecast year is built quarterly and ties to annual segment assumptions. Seasonality inputs are editable.</x:v>
      </x:c>
      <x:c r="D2" s="11" t="str">
        <x:v>The first forecast year is built quarterly and ties to annual segment assumptions. Seasonality inputs are editable.</x:v>
      </x:c>
      <x:c r="E2" s="11" t="str">
        <x:v>The first forecast year is built quarterly and ties to annual segment assumptions. Seasonality inputs are editable.</x:v>
      </x:c>
      <x:c r="F2" s="11" t="str">
        <x:v>The first forecast year is built quarterly and ties to annual segment assumptions. Seasonality inputs are editable.</x:v>
      </x:c>
      <x:c r="G2" s="11" t="str">
        <x:v>The first forecast year is built quarterly and ties to annual segment assumptions. Seasonality inputs are editable.</x:v>
      </x:c>
      <x:c r="H2" s="11" t="str">
        <x:v>The first forecast year is built quarterly and ties to annual segment assumptions. Seasonality inputs are editable.</x:v>
      </x:c>
      <x:c r="I2" s="11" t="str">
        <x:v>The first forecast year is built quarterly and ties to annual segment assumptions. Seasonality inputs are editable.</x:v>
      </x:c>
      <x:c r="J2" s="11" t="str">
        <x:v>The first forecast year is built quarterly and ties to annual segment assumptions. Seasonality inputs are editable.</x:v>
      </x:c>
    </x:row>
    <x:row r="4" ht="28" customHeight="1">
      <x:c r="A4" t="str">
        <x:v>$mm</x:v>
      </x:c>
      <x:c r="B4" s="26" t="str">
        <x:v>Q1 FY+1</x:v>
      </x:c>
      <x:c r="C4" s="26" t="str">
        <x:v>Q2 FY+1</x:v>
      </x:c>
      <x:c r="D4" s="26" t="str">
        <x:v>Q3 FY+1</x:v>
      </x:c>
      <x:c r="E4" s="26" t="str">
        <x:v>Q4 FY+1</x:v>
      </x:c>
      <x:c r="F4" s="26" t="str">
        <x:v>FY+1</x:v>
      </x:c>
    </x:row>
    <x:row r="5">
      <x:c r="A5" t="str">
        <x:v>Seasonality</x:v>
      </x:c>
      <x:c r="B5" s="54" t="n">
        <x:v>0.23</x:v>
      </x:c>
      <x:c r="C5" s="54" t="n">
        <x:v>0.24</x:v>
      </x:c>
      <x:c r="D5" s="54" t="n">
        <x:v>0.25</x:v>
      </x:c>
      <x:c r="E5" s="54" t="n">
        <x:v>0.28</x:v>
      </x:c>
      <x:c r="F5" t="n">
        <x:f>SUM(B5:E5)</x:f>
        <x:v>1</x:v>
      </x:c>
    </x:row>
    <x:row r="6">
      <x:c r="A6" t="str">
        <x:v>Core Hardware Revenue</x:v>
      </x:c>
      <x:c r="B6" s="56" t="n">
        <x:f>'Segments_Products'!C32*B5</x:f>
        <x:v>179.63</x:v>
      </x:c>
      <x:c r="C6" s="56" t="n">
        <x:f>'Segments_Products'!C32*C5</x:f>
        <x:v>187.44</x:v>
      </x:c>
      <x:c r="D6" s="56" t="n">
        <x:f>'Segments_Products'!C32*D5</x:f>
        <x:v>195.25</x:v>
      </x:c>
      <x:c r="E6" s="56" t="n">
        <x:f>'Segments_Products'!C32*E5</x:f>
        <x:v>218.68</x:v>
      </x:c>
      <x:c r="F6" s="56" t="n">
        <x:f>SUM(B6:E6)</x:f>
        <x:v>781</x:v>
      </x:c>
    </x:row>
    <x:row r="7">
      <x:c r="A7" t="str">
        <x:v>Service Revenue</x:v>
      </x:c>
      <x:c r="B7" s="56" t="n">
        <x:f>'Segments_Products'!C33*B5</x:f>
        <x:v>98.76384</x:v>
      </x:c>
      <x:c r="C7" s="56" t="n">
        <x:f>'Segments_Products'!C33*C5</x:f>
        <x:v>103.05792</x:v>
      </x:c>
      <x:c r="D7" s="56" t="n">
        <x:f>'Segments_Products'!C33*D5</x:f>
        <x:v>107.352</x:v>
      </x:c>
      <x:c r="E7" s="56" t="n">
        <x:f>'Segments_Products'!C33*E5</x:f>
        <x:v>120.23424000000001</x:v>
      </x:c>
      <x:c r="F7" s="56" t="n">
        <x:f>SUM(B7:E7)</x:f>
        <x:v>429.408</x:v>
      </x:c>
    </x:row>
    <x:row r="8">
      <x:c r="A8" t="str">
        <x:v>New Product Revenue</x:v>
      </x:c>
      <x:c r="B8" s="56" t="n">
        <x:f>'Segments_Products'!C34*B5</x:f>
        <x:v>13.041</x:v>
      </x:c>
      <x:c r="C8" s="56" t="n">
        <x:f>'Segments_Products'!C34*C5</x:f>
        <x:v>13.608</x:v>
      </x:c>
      <x:c r="D8" s="56" t="n">
        <x:f>'Segments_Products'!C34*D5</x:f>
        <x:v>14.175</x:v>
      </x:c>
      <x:c r="E8" s="56" t="n">
        <x:f>'Segments_Products'!C34*E5</x:f>
        <x:v>15.876000000000003</x:v>
      </x:c>
      <x:c r="F8" s="56" t="n">
        <x:f>SUM(B8:E8)</x:f>
        <x:v>56.7</x:v>
      </x:c>
    </x:row>
    <x:row r="9">
      <x:c r="A9" t="str">
        <x:v>Total Revenue</x:v>
      </x:c>
      <x:c r="B9" s="56" t="n">
        <x:f>SUM(B6:B8)</x:f>
        <x:v>291.43484</x:v>
      </x:c>
      <x:c r="C9" s="56" t="n">
        <x:f>SUM(C6:C8)</x:f>
        <x:v>304.10592</x:v>
      </x:c>
      <x:c r="D9" s="56" t="n">
        <x:f>SUM(D6:D8)</x:f>
        <x:v>316.777</x:v>
      </x:c>
      <x:c r="E9" s="56" t="n">
        <x:f>SUM(E6:E8)</x:f>
        <x:v>354.79024</x:v>
      </x:c>
      <x:c r="F9" s="56" t="n">
        <x:f>SUM(B9:E9)</x:f>
        <x:v>1267.1080000000002</x:v>
      </x:c>
    </x:row>
    <x:row r="10">
      <x:c r="A10" t="str">
        <x:v>COGS</x:v>
      </x:c>
      <x:c r="B10" s="56" t="n">
        <x:f>'Segments_Products'!C36*B5</x:f>
        <x:v>141.46379080000003</x:v>
      </x:c>
      <x:c r="C10" s="56" t="n">
        <x:f>'Segments_Products'!C36*C5</x:f>
        <x:v>147.61439040000002</x:v>
      </x:c>
      <x:c r="D10" s="56" t="n">
        <x:f>'Segments_Products'!C36*D5</x:f>
        <x:v>153.76499</x:v>
      </x:c>
      <x:c r="E10" s="56" t="n">
        <x:f>'Segments_Products'!C36*E5</x:f>
        <x:v>172.21678880000002</x:v>
      </x:c>
      <x:c r="F10" s="56" t="n">
        <x:f>SUM(B10:E10)</x:f>
        <x:v>615.05996</x:v>
      </x:c>
    </x:row>
    <x:row r="11">
      <x:c r="A11" t="str">
        <x:v>Gross Profit</x:v>
      </x:c>
      <x:c r="B11" s="56" t="n">
        <x:f>B9-B10</x:f>
        <x:v>149.97104919999998</x:v>
      </x:c>
      <x:c r="C11" s="56" t="n">
        <x:f>C9-C10</x:f>
        <x:v>156.4915296</x:v>
      </x:c>
      <x:c r="D11" s="56" t="n">
        <x:f>D9-D10</x:f>
        <x:v>163.01200999999998</x:v>
      </x:c>
      <x:c r="E11" s="56" t="n">
        <x:f>E9-E10</x:f>
        <x:v>182.57345119999997</x:v>
      </x:c>
      <x:c r="F11" s="56" t="n">
        <x:f>SUM(B11:E11)</x:f>
        <x:v>652.0480399999999</x:v>
      </x:c>
    </x:row>
    <x:row r="12">
      <x:c r="A12" t="str">
        <x:v>R&amp;D</x:v>
      </x:c>
      <x:c r="B12" s="56" t="n">
        <x:f>'Assumptions'!C5*B5</x:f>
        <x:v>36.800000000000004</x:v>
      </x:c>
      <x:c r="C12" s="56" t="n">
        <x:f>'Assumptions'!C5*C5</x:f>
        <x:v>38.4</x:v>
      </x:c>
      <x:c r="D12" s="56" t="n">
        <x:f>'Assumptions'!C5*D5</x:f>
        <x:v>40</x:v>
      </x:c>
      <x:c r="E12" s="56" t="n">
        <x:f>'Assumptions'!C5*E5</x:f>
        <x:v>44.800000000000004</x:v>
      </x:c>
      <x:c r="F12" s="56" t="n">
        <x:f>SUM(B12:E12)</x:f>
        <x:v>160</x:v>
      </x:c>
    </x:row>
    <x:row r="13">
      <x:c r="A13" t="str">
        <x:v>S&amp;M + G&amp;A</x:v>
      </x:c>
      <x:c r="B13" s="56" t="n">
        <x:f>('Assumptions'!C6+'Assumptions'!C7)*B5</x:f>
        <x:v>50.830000000000005</x:v>
      </x:c>
      <x:c r="C13" s="56" t="n">
        <x:f>('Assumptions'!C6+'Assumptions'!C7)*C5</x:f>
        <x:v>53.04</x:v>
      </x:c>
      <x:c r="D13" s="56" t="n">
        <x:f>('Assumptions'!C6+'Assumptions'!C7)*D5</x:f>
        <x:v>55.25</x:v>
      </x:c>
      <x:c r="E13" s="56" t="n">
        <x:f>('Assumptions'!C6+'Assumptions'!C7)*E5</x:f>
        <x:v>61.88</x:v>
      </x:c>
      <x:c r="F13" s="56" t="n">
        <x:f>SUM(B13:E13)</x:f>
        <x:v>221</x:v>
      </x:c>
    </x:row>
    <x:row r="14">
      <x:c r="A14" t="str">
        <x:v>Operating Income</x:v>
      </x:c>
      <x:c r="B14" s="56" t="n">
        <x:f>B11-B12-B13</x:f>
        <x:v>62.341049199999965</x:v>
      </x:c>
      <x:c r="C14" s="56" t="n">
        <x:f>C11-C12-C13</x:f>
        <x:v>65.05152960000001</x:v>
      </x:c>
      <x:c r="D14" s="56" t="n">
        <x:f>D11-D12-D13</x:f>
        <x:v>67.76200999999998</x:v>
      </x:c>
      <x:c r="E14" s="56" t="n">
        <x:f>E11-E12-E13</x:f>
        <x:v>75.89345119999996</x:v>
      </x:c>
      <x:c r="F14" s="56" t="n">
        <x:f>SUM(B14:E14)</x:f>
        <x:v>271.0480399999999</x:v>
      </x:c>
    </x:row>
    <x:row r="15">
      <x:c r="A15" t="str">
        <x:v>Operating Margin</x:v>
      </x:c>
      <x:c r="B15" s="50" t="n">
        <x:f>B14/B9</x:f>
        <x:v>0.21391076372337625</x:v>
      </x:c>
      <x:c r="C15" s="50" t="n">
        <x:f>C14/C9</x:f>
        <x:v>0.2139107637233764</x:v>
      </x:c>
      <x:c r="D15" s="50" t="n">
        <x:f>D14/D9</x:f>
        <x:v>0.2139107637233763</x:v>
      </x:c>
      <x:c r="E15" s="50" t="n">
        <x:f>E14/E9</x:f>
        <x:v>0.21391076372337628</x:v>
      </x:c>
      <x:c r="F15" s="50" t="n">
        <x:f>F14/F9</x:f>
        <x:v>0.21391076372337628</x:v>
      </x:c>
    </x:row>
    <x:row r="18" ht="21" customHeight="1">
      <x:c r="A18" s="18" t="str">
        <x:v>Quarterly checks</x:v>
      </x:c>
      <x:c r="B18" s="18" t="str">
        <x:v>Quarterly checks</x:v>
      </x:c>
      <x:c r="C18" s="18" t="str">
        <x:v>Quarterly checks</x:v>
      </x:c>
      <x:c r="D18" s="18" t="str">
        <x:v>Quarterly checks</x:v>
      </x:c>
      <x:c r="E18" s="18" t="str">
        <x:v>Quarterly checks</x:v>
      </x:c>
      <x:c r="F18" s="18" t="str">
        <x:v>Quarterly checks</x:v>
      </x:c>
      <x:c r="G18" s="18" t="str">
        <x:v>Quarterly checks</x:v>
      </x:c>
      <x:c r="H18" s="18" t="str">
        <x:v>Quarterly checks</x:v>
      </x:c>
      <x:c r="I18" s="18" t="str">
        <x:v>Quarterly checks</x:v>
      </x:c>
      <x:c r="J18" s="18" t="str">
        <x:v>Quarterly checks</x:v>
      </x:c>
    </x:row>
    <x:row r="19" ht="28" customHeight="1">
      <x:c r="A19" s="26" t="str">
        <x:v>Check</x:v>
      </x:c>
      <x:c r="B19" s="26" t="str">
        <x:v>Value</x:v>
      </x:c>
      <x:c r="C19" s="26" t="str">
        <x:v>Threshold</x:v>
      </x:c>
      <x:c r="D19" s="26" t="str">
        <x:v>Status</x:v>
      </x:c>
    </x:row>
    <x:row r="20">
      <x:c r="A20" t="str">
        <x:v>Revenue ties to FY+1 segments</x:v>
      </x:c>
      <x:c r="B20" s="70" t="n">
        <x:f>F9-'Segments_Products'!C35</x:f>
        <x:v>2.2737367544323206e-13</x:v>
      </x:c>
      <x:c r="C20" s="70" t="n">
        <x:v>0</x:v>
      </x:c>
      <x:c r="D20" t="str">
        <x:f>IF(ABS(B20-C20)&lt;0.0001,"PASS","FAIL")</x:f>
        <x:v>PASS</x:v>
      </x:c>
    </x:row>
    <x:row r="21">
      <x:c r="A21" t="str">
        <x:v>COGS ties to FY+1 segments</x:v>
      </x:c>
      <x:c r="B21" s="70" t="n">
        <x:f>F10-'Segments_Products'!C36</x:f>
        <x:v>0</x:v>
      </x:c>
      <x:c r="C21" s="70" t="n">
        <x:v>0</x:v>
      </x:c>
      <x:c r="D21" t="str">
        <x:f>IF(ABS(B21-C21)&lt;0.0001,"PASS","FAIL")</x:f>
        <x:v>PASS</x:v>
      </x:c>
    </x:row>
    <x:row r="22">
      <x:c r="A22" t="str">
        <x:v>Seasonality sums to 100%</x:v>
      </x:c>
      <x:c r="B22" s="70" t="n">
        <x:f>F5-1</x:f>
        <x:v>0</x:v>
      </x:c>
      <x:c r="C22" s="70" t="n">
        <x:v>0</x:v>
      </x:c>
      <x:c r="D22" t="str">
        <x:f>IF(ABS(B22-C22)&lt;0.0001,"PASS","FAIL")</x:f>
        <x:v>PASS</x:v>
      </x:c>
    </x:row>
    <x:row r="23">
      <x:c r="A23" t="str">
        <x:v>Operating income recomputes</x:v>
      </x:c>
      <x:c r="B23" s="70" t="n">
        <x:f>F14-(F11-F12-F13)</x:f>
        <x:v>0</x:v>
      </x:c>
      <x:c r="C23" s="70" t="n">
        <x:v>0</x:v>
      </x:c>
      <x:c r="D23" t="str">
        <x:f>IF(ABS(B23-C23)&lt;0.0001,"PASS","FAIL")</x:f>
        <x:v>PASS</x:v>
      </x:c>
    </x:row>
  </x:sheetData>
  <x:mergeCells>
    <x:mergeCell ref="A1:J1"/>
    <x:mergeCell ref="A2:J2"/>
    <x:mergeCell ref="A18:J18"/>
  </x:mergeCells>
  <x:conditionalFormatting sqref="D20:D23">
    <x:cfRule type="expression" dxfId="0" priority="1">
      <x:formula>D20="PASS"</x:formula>
    </x:cfRule>
    <x:cfRule type="expression" dxfId="1" priority="2">
      <x:formula>D20="FAIL"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0" hidden="0" customWidth="1"/>
  </x:cols>
  <x:sheetData>
    <x:row r="1" ht="28" customHeight="1">
      <x:c r="A1" s="4" t="str">
        <x:v>Annual GAAP P&amp;L and EPS</x:v>
      </x:c>
      <x:c r="B1" s="4" t="str">
        <x:v>Annual GAAP P&amp;L and EPS</x:v>
      </x:c>
      <x:c r="C1" s="4" t="str">
        <x:v>Annual GAAP P&amp;L and EPS</x:v>
      </x:c>
      <x:c r="D1" s="4" t="str">
        <x:v>Annual GAAP P&amp;L and EPS</x:v>
      </x:c>
      <x:c r="E1" s="4" t="str">
        <x:v>Annual GAAP P&amp;L and EPS</x:v>
      </x:c>
      <x:c r="F1" s="4" t="str">
        <x:v>Annual GAAP P&amp;L and EPS</x:v>
      </x:c>
      <x:c r="G1" s="4" t="str">
        <x:v>Annual GAAP P&amp;L and EPS</x:v>
      </x:c>
      <x:c r="H1" s="4" t="str">
        <x:v>Annual GAAP P&amp;L and EPS</x:v>
      </x:c>
    </x:row>
    <x:row r="2" ht="36" customHeight="1">
      <x:c r="A2" s="11" t="str">
        <x:v>Segment revenue/COGS feed the P&amp;L. Opex, tax and shares are linked assumptions.</x:v>
      </x:c>
      <x:c r="B2" s="11" t="str">
        <x:v>Segment revenue/COGS feed the P&amp;L. Opex, tax and shares are linked assumptions.</x:v>
      </x:c>
      <x:c r="C2" s="11" t="str">
        <x:v>Segment revenue/COGS feed the P&amp;L. Opex, tax and shares are linked assumptions.</x:v>
      </x:c>
      <x:c r="D2" s="11" t="str">
        <x:v>Segment revenue/COGS feed the P&amp;L. Opex, tax and shares are linked assumptions.</x:v>
      </x:c>
      <x:c r="E2" s="11" t="str">
        <x:v>Segment revenue/COGS feed the P&amp;L. Opex, tax and shares are linked assumptions.</x:v>
      </x:c>
      <x:c r="F2" s="11" t="str">
        <x:v>Segment revenue/COGS feed the P&amp;L. Opex, tax and shares are linked assumptions.</x:v>
      </x:c>
      <x:c r="G2" s="11" t="str">
        <x:v>Segment revenue/COGS feed the P&amp;L. Opex, tax and shares are linked assumptions.</x:v>
      </x:c>
      <x:c r="H2" s="11" t="str">
        <x:v>Segment revenue/COGS feed the P&amp;L. Opex, tax and shares are linked assumptions.</x:v>
      </x:c>
    </x:row>
    <x:row r="4" ht="28" customHeight="1">
      <x:c r="A4" t="str">
        <x:v>$mm except EPS</x:v>
      </x:c>
      <x:c r="B4" s="26" t="str">
        <x:v>FY0</x:v>
      </x:c>
      <x:c r="C4" s="26" t="str">
        <x:v>FY+1</x:v>
      </x:c>
      <x:c r="D4" s="26" t="str">
        <x:v>FY+2</x:v>
      </x:c>
      <x:c r="E4" s="26" t="str">
        <x:v>FY+3</x:v>
      </x:c>
      <x:c r="F4" s="26" t="str">
        <x:v>FY+4</x:v>
      </x:c>
      <x:c r="G4" s="26" t="str">
        <x:v>FY+5</x:v>
      </x:c>
    </x:row>
    <x:row r="5">
      <x:c r="A5" t="str">
        <x:v>Revenue</x:v>
      </x:c>
      <x:c r="B5" s="74" t="n">
        <x:f>'Segments_Products'!B35</x:f>
        <x:v>1120</x:v>
      </x:c>
      <x:c r="C5" s="74" t="n">
        <x:f>'Segments_Products'!C35</x:f>
        <x:v>1267.108</x:v>
      </x:c>
      <x:c r="D5" s="74" t="n">
        <x:f>'Segments_Products'!D35</x:f>
        <x:v>1452.948</x:v>
      </x:c>
      <x:c r="E5" s="74" t="n">
        <x:f>'Segments_Products'!E35</x:f>
        <x:v>1640.509</x:v>
      </x:c>
      <x:c r="F5" s="74" t="n">
        <x:f>'Segments_Products'!F35</x:f>
        <x:v>1836.77</x:v>
      </x:c>
      <x:c r="G5" s="74" t="n">
        <x:f>'Segments_Products'!G35</x:f>
        <x:v>2018.088</x:v>
      </x:c>
    </x:row>
    <x:row r="6">
      <x:c r="A6" t="str">
        <x:v>Revenue growth</x:v>
      </x:c>
      <x:c r="B6" s="75"/>
      <x:c r="C6" s="75" t="n">
        <x:f>C5/B5-1</x:f>
        <x:v>0.13134642857142853</x:v>
      </x:c>
      <x:c r="D6" s="75" t="n">
        <x:f>D5/C5-1</x:f>
        <x:v>0.14666468840856517</x:v>
      </x:c>
      <x:c r="E6" s="75" t="n">
        <x:f>E5/D5-1</x:f>
        <x:v>0.1290899605491731</x:v>
      </x:c>
      <x:c r="F6" s="75" t="n">
        <x:f>F5/E5-1</x:f>
        <x:v>0.11963421108936312</x:v>
      </x:c>
      <x:c r="G6" s="75" t="n">
        <x:f>G5/F5-1</x:f>
        <x:v>0.09871568024303534</x:v>
      </x:c>
    </x:row>
    <x:row r="7">
      <x:c r="A7" t="str">
        <x:v>COGS</x:v>
      </x:c>
      <x:c r="B7" s="74" t="n">
        <x:f>'Segments_Products'!B36</x:f>
        <x:v>560</x:v>
      </x:c>
      <x:c r="C7" s="74" t="n">
        <x:f>'Segments_Products'!C36</x:f>
        <x:v>615.05996</x:v>
      </x:c>
      <x:c r="D7" s="74" t="n">
        <x:f>'Segments_Products'!D36</x:f>
        <x:v>684.26832</x:v>
      </x:c>
      <x:c r="E7" s="74" t="n">
        <x:f>'Segments_Products'!E36</x:f>
        <x:v>746.8987400000001</x:v>
      </x:c>
      <x:c r="F7" s="74" t="n">
        <x:f>'Segments_Products'!F36</x:f>
        <x:v>807.7411</x:v>
      </x:c>
      <x:c r="G7" s="74" t="n">
        <x:f>'Segments_Products'!G36</x:f>
        <x:v>853.3439999999999</x:v>
      </x:c>
    </x:row>
    <x:row r="8">
      <x:c r="A8" t="str">
        <x:v>Gross Profit</x:v>
      </x:c>
      <x:c r="B8" s="74" t="n">
        <x:f>B5-B7</x:f>
        <x:v>560</x:v>
      </x:c>
      <x:c r="C8" s="74" t="n">
        <x:f>C5-C7</x:f>
        <x:v>652.0480399999999</x:v>
      </x:c>
      <x:c r="D8" s="74" t="n">
        <x:f>D5-D7</x:f>
        <x:v>768.6796800000001</x:v>
      </x:c>
      <x:c r="E8" s="74" t="n">
        <x:f>E5-E7</x:f>
        <x:v>893.6102599999999</x:v>
      </x:c>
      <x:c r="F8" s="74" t="n">
        <x:f>F5-F7</x:f>
        <x:v>1029.0289</x:v>
      </x:c>
      <x:c r="G8" s="74" t="n">
        <x:f>G5-G7</x:f>
        <x:v>1164.7440000000001</x:v>
      </x:c>
    </x:row>
    <x:row r="9">
      <x:c r="A9" t="str">
        <x:v>Gross Margin</x:v>
      </x:c>
      <x:c r="B9" s="75" t="n">
        <x:f>B8/B5</x:f>
        <x:v>0.5</x:v>
      </x:c>
      <x:c r="C9" s="75" t="n">
        <x:f>C8/C5</x:f>
        <x:v>0.5145954725248361</x:v>
      </x:c>
      <x:c r="D9" s="75" t="n">
        <x:f>D8/D5</x:f>
        <x:v>0.5290483073034961</x:v>
      </x:c>
      <x:c r="E9" s="75" t="n">
        <x:f>E8/E5</x:f>
        <x:v>0.5447152438663854</x:v>
      </x:c>
      <x:c r="F9" s="75" t="n">
        <x:f>F8/F5</x:f>
        <x:v>0.5602382987527018</x:v>
      </x:c>
      <x:c r="G9" s="75" t="n">
        <x:f>G8/G5</x:f>
        <x:v>0.577152235184987</x:v>
      </x:c>
    </x:row>
    <x:row r="10">
      <x:c r="A10" t="str">
        <x:v>R&amp;D</x:v>
      </x:c>
      <x:c r="B10" s="74" t="n">
        <x:f>'Assumptions'!B5</x:f>
        <x:v>145</x:v>
      </x:c>
      <x:c r="C10" s="74" t="n">
        <x:f>'Assumptions'!C5</x:f>
        <x:v>160</x:v>
      </x:c>
      <x:c r="D10" s="74" t="n">
        <x:f>'Assumptions'!D5</x:f>
        <x:v>178</x:v>
      </x:c>
      <x:c r="E10" s="74" t="n">
        <x:f>'Assumptions'!E5</x:f>
        <x:v>195</x:v>
      </x:c>
      <x:c r="F10" s="74" t="n">
        <x:f>'Assumptions'!F5</x:f>
        <x:v>210</x:v>
      </x:c>
      <x:c r="G10" s="74" t="n">
        <x:f>'Assumptions'!G5</x:f>
        <x:v>225</x:v>
      </x:c>
    </x:row>
    <x:row r="11">
      <x:c r="A11" t="str">
        <x:v>Sales &amp; Marketing</x:v>
      </x:c>
      <x:c r="B11" s="74" t="n">
        <x:f>'Assumptions'!B6</x:f>
        <x:v>115</x:v>
      </x:c>
      <x:c r="C11" s="74" t="n">
        <x:f>'Assumptions'!C6</x:f>
        <x:v>127</x:v>
      </x:c>
      <x:c r="D11" s="74" t="n">
        <x:f>'Assumptions'!D6</x:f>
        <x:v>140</x:v>
      </x:c>
      <x:c r="E11" s="74" t="n">
        <x:f>'Assumptions'!E6</x:f>
        <x:v>152</x:v>
      </x:c>
      <x:c r="F11" s="74" t="n">
        <x:f>'Assumptions'!F6</x:f>
        <x:v>165</x:v>
      </x:c>
      <x:c r="G11" s="74" t="n">
        <x:f>'Assumptions'!G6</x:f>
        <x:v>178</x:v>
      </x:c>
    </x:row>
    <x:row r="12">
      <x:c r="A12" t="str">
        <x:v>G&amp;A</x:v>
      </x:c>
      <x:c r="B12" s="74" t="n">
        <x:f>'Assumptions'!B7</x:f>
        <x:v>88</x:v>
      </x:c>
      <x:c r="C12" s="74" t="n">
        <x:f>'Assumptions'!C7</x:f>
        <x:v>94</x:v>
      </x:c>
      <x:c r="D12" s="74" t="n">
        <x:f>'Assumptions'!D7</x:f>
        <x:v>100</x:v>
      </x:c>
      <x:c r="E12" s="74" t="n">
        <x:f>'Assumptions'!E7</x:f>
        <x:v>107</x:v>
      </x:c>
      <x:c r="F12" s="74" t="n">
        <x:f>'Assumptions'!F7</x:f>
        <x:v>114</x:v>
      </x:c>
      <x:c r="G12" s="74" t="n">
        <x:f>'Assumptions'!G7</x:f>
        <x:v>121</x:v>
      </x:c>
    </x:row>
    <x:row r="13">
      <x:c r="A13" t="str">
        <x:v>Operating Income</x:v>
      </x:c>
      <x:c r="B13" s="74" t="n">
        <x:f>B8-B10-B11-B12</x:f>
        <x:v>212</x:v>
      </x:c>
      <x:c r="C13" s="74" t="n">
        <x:f>C8-C10-C11-C12</x:f>
        <x:v>271.0480399999999</x:v>
      </x:c>
      <x:c r="D13" s="74" t="n">
        <x:f>D8-D10-D11-D12</x:f>
        <x:v>350.6796800000001</x:v>
      </x:c>
      <x:c r="E13" s="74" t="n">
        <x:f>E8-E10-E11-E12</x:f>
        <x:v>439.6102599999999</x:v>
      </x:c>
      <x:c r="F13" s="74" t="n">
        <x:f>F8-F10-F11-F12</x:f>
        <x:v>540.0289</x:v>
      </x:c>
      <x:c r="G13" s="74" t="n">
        <x:f>G8-G10-G11-G12</x:f>
        <x:v>640.7440000000001</x:v>
      </x:c>
    </x:row>
    <x:row r="14">
      <x:c r="A14" t="str">
        <x:v>Operating Margin</x:v>
      </x:c>
      <x:c r="B14" s="75" t="n">
        <x:f>B13/B5</x:f>
        <x:v>0.18928571428571428</x:v>
      </x:c>
      <x:c r="C14" s="75" t="n">
        <x:f>C13/C5</x:f>
        <x:v>0.2139107637233763</x:v>
      </x:c>
      <x:c r="D14" s="75" t="n">
        <x:f>D13/D5</x:f>
        <x:v>0.24135735071041775</x:v>
      </x:c>
      <x:c r="E14" s="75" t="n">
        <x:f>E13/E5</x:f>
        <x:v>0.2679718672680247</x:v>
      </x:c>
      <x:c r="F14" s="75" t="n">
        <x:f>F13/F5</x:f>
        <x:v>0.294010082917295</x:v>
      </x:c>
      <x:c r="G14" s="75" t="n">
        <x:f>G13/G5</x:f>
        <x:v>0.3175005252496423</x:v>
      </x:c>
    </x:row>
    <x:row r="15">
      <x:c r="A15" t="str">
        <x:v>Other Income / (Expense)</x:v>
      </x:c>
      <x:c r="B15" s="74" t="n">
        <x:v>3</x:v>
      </x:c>
      <x:c r="C15" s="74" t="n">
        <x:v>4</x:v>
      </x:c>
      <x:c r="D15" s="74" t="n">
        <x:v>4</x:v>
      </x:c>
      <x:c r="E15" s="74" t="n">
        <x:v>4</x:v>
      </x:c>
      <x:c r="F15" s="74" t="n">
        <x:v>4</x:v>
      </x:c>
      <x:c r="G15" s="74" t="n">
        <x:v>4</x:v>
      </x:c>
    </x:row>
    <x:row r="16">
      <x:c r="A16" t="str">
        <x:v>Pre-tax Income</x:v>
      </x:c>
      <x:c r="B16" s="74" t="n">
        <x:f>B13+B15</x:f>
        <x:v>215</x:v>
      </x:c>
      <x:c r="C16" s="74" t="n">
        <x:f>C13+C15</x:f>
        <x:v>275.0480399999999</x:v>
      </x:c>
      <x:c r="D16" s="74" t="n">
        <x:f>D13+D15</x:f>
        <x:v>354.6796800000001</x:v>
      </x:c>
      <x:c r="E16" s="74" t="n">
        <x:f>E13+E15</x:f>
        <x:v>443.6102599999999</x:v>
      </x:c>
      <x:c r="F16" s="74" t="n">
        <x:f>F13+F15</x:f>
        <x:v>544.0289</x:v>
      </x:c>
      <x:c r="G16" s="74" t="n">
        <x:f>G13+G15</x:f>
        <x:v>644.7440000000001</x:v>
      </x:c>
    </x:row>
    <x:row r="17">
      <x:c r="A17" t="str">
        <x:v>Tax Rate</x:v>
      </x:c>
      <x:c r="B17" s="75" t="n">
        <x:f>'Assumptions'!B11</x:f>
        <x:v>0.17674418604651163</x:v>
      </x:c>
      <x:c r="C17" s="75" t="n">
        <x:f>'Assumptions'!C11</x:f>
        <x:v>0.18</x:v>
      </x:c>
      <x:c r="D17" s="75" t="n">
        <x:f>'Assumptions'!D11</x:f>
        <x:v>0.19</x:v>
      </x:c>
      <x:c r="E17" s="75" t="n">
        <x:f>'Assumptions'!E11</x:f>
        <x:v>0.19</x:v>
      </x:c>
      <x:c r="F17" s="75" t="n">
        <x:f>'Assumptions'!F11</x:f>
        <x:v>0.2</x:v>
      </x:c>
      <x:c r="G17" s="75" t="n">
        <x:f>'Assumptions'!G11</x:f>
        <x:v>0.2</x:v>
      </x:c>
    </x:row>
    <x:row r="18">
      <x:c r="A18" t="str">
        <x:v>Tax</x:v>
      </x:c>
      <x:c r="B18" s="74" t="n">
        <x:f>B16*B17</x:f>
        <x:v>38</x:v>
      </x:c>
      <x:c r="C18" s="74" t="n">
        <x:f>C16*C17</x:f>
        <x:v>49.50864719999998</x:v>
      </x:c>
      <x:c r="D18" s="74" t="n">
        <x:f>D16*D17</x:f>
        <x:v>67.38913920000002</x:v>
      </x:c>
      <x:c r="E18" s="74" t="n">
        <x:f>E16*E17</x:f>
        <x:v>84.28594939999999</x:v>
      </x:c>
      <x:c r="F18" s="74" t="n">
        <x:f>F16*F17</x:f>
        <x:v>108.80578000000001</x:v>
      </x:c>
      <x:c r="G18" s="74" t="n">
        <x:f>G16*G17</x:f>
        <x:v>128.94880000000003</x:v>
      </x:c>
    </x:row>
    <x:row r="19">
      <x:c r="A19" t="str">
        <x:v>Net Income</x:v>
      </x:c>
      <x:c r="B19" s="74" t="n">
        <x:f>B16-B18</x:f>
        <x:v>177</x:v>
      </x:c>
      <x:c r="C19" s="74" t="n">
        <x:f>C16-C18</x:f>
        <x:v>225.53939279999992</x:v>
      </x:c>
      <x:c r="D19" s="74" t="n">
        <x:f>D16-D18</x:f>
        <x:v>287.29054080000003</x:v>
      </x:c>
      <x:c r="E19" s="74" t="n">
        <x:f>E16-E18</x:f>
        <x:v>359.32431059999993</x:v>
      </x:c>
      <x:c r="F19" s="74" t="n">
        <x:f>F16-F18</x:f>
        <x:v>435.22312</x:v>
      </x:c>
      <x:c r="G19" s="74" t="n">
        <x:f>G16-G18</x:f>
        <x:v>515.7952000000001</x:v>
      </x:c>
    </x:row>
    <x:row r="20">
      <x:c r="A20" t="str">
        <x:v>Net Margin</x:v>
      </x:c>
      <x:c r="B20" s="75" t="n">
        <x:f>B19/B5</x:f>
        <x:v>0.15803571428571428</x:v>
      </x:c>
      <x:c r="C20" s="75" t="n">
        <x:f>C19/C5</x:f>
        <x:v>0.17799539802447772</x:v>
      </x:c>
      <x:c r="D20" s="75" t="n">
        <x:f>D19/D5</x:f>
        <x:v>0.19772940311697323</x:v>
      </x:c>
      <x:c r="E20" s="75" t="n">
        <x:f>E19/E5</x:f>
        <x:v>0.21903220927163455</x:v>
      </x:c>
      <x:c r="F20" s="75" t="n">
        <x:f>F19/F5</x:f>
        <x:v>0.23695025506731926</x:v>
      </x:c>
      <x:c r="G20" s="75" t="n">
        <x:f>G19/G5</x:f>
        <x:v>0.25558607949702894</x:v>
      </x:c>
    </x:row>
    <x:row r="21">
      <x:c r="A21" t="str">
        <x:v>Diluted Shares (mm)</x:v>
      </x:c>
      <x:c r="B21" s="76" t="n">
        <x:f>'Historical'!D24</x:f>
        <x:v>100</x:v>
      </x:c>
      <x:c r="C21" s="76" t="n">
        <x:f>B21+'Assumptions'!C9/'README_Control'!$B$15-'Assumptions'!C16/'README_Control'!$B$15</x:f>
        <x:v>100.5</x:v>
      </x:c>
      <x:c r="D21" s="76" t="n">
        <x:f>C21+'Assumptions'!D9/'README_Control'!$B$15-'Assumptions'!D16/'README_Control'!$B$15</x:f>
        <x:v>100.94000000000001</x:v>
      </x:c>
      <x:c r="E21" s="76" t="n">
        <x:f>D21+'Assumptions'!E9/'README_Control'!$B$15-'Assumptions'!E16/'README_Control'!$B$15</x:f>
        <x:v>101.30000000000001</x:v>
      </x:c>
      <x:c r="F21" s="76" t="n">
        <x:f>E21+'Assumptions'!F9/'README_Control'!$B$15-'Assumptions'!F16/'README_Control'!$B$15</x:f>
        <x:v>101.58000000000001</x:v>
      </x:c>
      <x:c r="G21" s="76" t="n">
        <x:f>F21+'Assumptions'!G9/'README_Control'!$B$15-'Assumptions'!G16/'README_Control'!$B$15</x:f>
        <x:v>101.78000000000002</x:v>
      </x:c>
    </x:row>
    <x:row r="22">
      <x:c r="A22" t="str">
        <x:v>EPS</x:v>
      </x:c>
      <x:c r="B22" s="77" t="n">
        <x:f>B19*1000000/(B21*1000000)</x:f>
        <x:v>1.77</x:v>
      </x:c>
      <x:c r="C22" s="77" t="n">
        <x:f>C19*1000000/(C21*1000000)</x:f>
        <x:v>2.2441730626865666</x:v>
      </x:c>
      <x:c r="D22" s="77" t="n">
        <x:f>D19*1000000/(D21*1000000)</x:f>
        <x:v>2.846151583118684</x:v>
      </x:c>
      <x:c r="E22" s="77" t="n">
        <x:f>E19*1000000/(E21*1000000)</x:f>
        <x:v>3.5471304106614</x:v>
      </x:c>
      <x:c r="F22" s="77" t="n">
        <x:f>F19*1000000/(F21*1000000)</x:f>
        <x:v>4.284535538491829</x:v>
      </x:c>
      <x:c r="G22" s="77" t="n">
        <x:f>G19*1000000/(G21*1000000)</x:f>
        <x:v>5.06774611908037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e232922a84b418e"/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0" hidden="0" customWidth="1"/>
  </x:cols>
  <x:sheetData>
    <x:row r="1" ht="28" customHeight="1">
      <x:c r="A1" s="4" t="str">
        <x:v>Balance Sheet</x:v>
      </x:c>
      <x:c r="B1" s="4" t="str">
        <x:v>Balance Sheet</x:v>
      </x:c>
      <x:c r="C1" s="4" t="str">
        <x:v>Balance Sheet</x:v>
      </x:c>
      <x:c r="D1" s="4" t="str">
        <x:v>Balance Sheet</x:v>
      </x:c>
      <x:c r="E1" s="4" t="str">
        <x:v>Balance Sheet</x:v>
      </x:c>
      <x:c r="F1" s="4" t="str">
        <x:v>Balance Sheet</x:v>
      </x:c>
      <x:c r="G1" s="4" t="str">
        <x:v>Balance Sheet</x:v>
      </x:c>
      <x:c r="H1" s="4" t="str">
        <x:v>Balance Sheet</x:v>
      </x:c>
    </x:row>
    <x:row r="2" ht="36" customHeight="1">
      <x:c r="A2" s="11" t="str">
        <x:v>Working-capital accounts derive from DSO/DIO/DPO. Cash links to the cash-flow statement.</x:v>
      </x:c>
      <x:c r="B2" s="11" t="str">
        <x:v>Working-capital accounts derive from DSO/DIO/DPO. Cash links to the cash-flow statement.</x:v>
      </x:c>
      <x:c r="C2" s="11" t="str">
        <x:v>Working-capital accounts derive from DSO/DIO/DPO. Cash links to the cash-flow statement.</x:v>
      </x:c>
      <x:c r="D2" s="11" t="str">
        <x:v>Working-capital accounts derive from DSO/DIO/DPO. Cash links to the cash-flow statement.</x:v>
      </x:c>
      <x:c r="E2" s="11" t="str">
        <x:v>Working-capital accounts derive from DSO/DIO/DPO. Cash links to the cash-flow statement.</x:v>
      </x:c>
      <x:c r="F2" s="11" t="str">
        <x:v>Working-capital accounts derive from DSO/DIO/DPO. Cash links to the cash-flow statement.</x:v>
      </x:c>
      <x:c r="G2" s="11" t="str">
        <x:v>Working-capital accounts derive from DSO/DIO/DPO. Cash links to the cash-flow statement.</x:v>
      </x:c>
      <x:c r="H2" s="11" t="str">
        <x:v>Working-capital accounts derive from DSO/DIO/DPO. Cash links to the cash-flow statement.</x:v>
      </x:c>
    </x:row>
    <x:row r="4" ht="28" customHeight="1">
      <x:c r="A4" t="str">
        <x:v>$mm</x:v>
      </x:c>
      <x:c r="B4" s="26" t="str">
        <x:v>FY0</x:v>
      </x:c>
      <x:c r="C4" s="26" t="str">
        <x:v>FY+1</x:v>
      </x:c>
      <x:c r="D4" s="26" t="str">
        <x:v>FY+2</x:v>
      </x:c>
      <x:c r="E4" s="26" t="str">
        <x:v>FY+3</x:v>
      </x:c>
      <x:c r="F4" s="26" t="str">
        <x:v>FY+4</x:v>
      </x:c>
      <x:c r="G4" s="26" t="str">
        <x:v>FY+5</x:v>
      </x:c>
    </x:row>
    <x:row r="5">
      <x:c r="A5" t="str">
        <x:v>Cash</x:v>
      </x:c>
      <x:c r="B5" s="48" t="n">
        <x:v>350</x:v>
      </x:c>
      <x:c r="C5" s="74" t="n">
        <x:f>'Cash_Flow'!C20</x:f>
        <x:v>534.0265174027396</x:v>
      </x:c>
      <x:c r="D5" s="74" t="n">
        <x:f>'Cash_Flow'!D20</x:f>
        <x:v>764.2034481205478</x:v>
      </x:c>
      <x:c r="E5" s="74" t="n">
        <x:f>'Cash_Flow'!E20</x:f>
        <x:v>1057.135627268493</x:v>
      </x:c>
      <x:c r="F5" s="74" t="n">
        <x:f>'Cash_Flow'!F20</x:f>
        <x:v>1404.3258666657532</x:v>
      </x:c>
      <x:c r="G5" s="74" t="n">
        <x:f>'Cash_Flow'!G20</x:f>
        <x:v>1824.2544052958901</x:v>
      </x:c>
    </x:row>
    <x:row r="6">
      <x:c r="A6" t="str">
        <x:v>Accounts Receivable</x:v>
      </x:c>
      <x:c r="B6" s="48" t="n">
        <x:v>190</x:v>
      </x:c>
      <x:c r="C6" s="74" t="n">
        <x:f>'Annual_P&amp;L'!C5*'Assumptions'!C12/365</x:f>
        <x:v>208.29172602739726</x:v>
      </x:c>
      <x:c r="D6" s="74" t="n">
        <x:f>'Annual_P&amp;L'!D5*'Assumptions'!D12/365</x:f>
        <x:v>230.87940821917812</x:v>
      </x:c>
      <x:c r="E6" s="74" t="n">
        <x:f>'Annual_P&amp;L'!E5*'Assumptions'!E12/365</x:f>
        <x:v>251.69453150684933</x:v>
      </x:c>
      <x:c r="F6" s="74" t="n">
        <x:f>'Annual_P&amp;L'!F5*'Assumptions'!F12/365</x:f>
        <x:v>276.77356164383565</x:v>
      </x:c>
      <x:c r="G6" s="74" t="n">
        <x:f>'Annual_P&amp;L'!G5*'Assumptions'!G12/365</x:f>
        <x:v>298.56644383561644</x:v>
      </x:c>
    </x:row>
    <x:row r="7">
      <x:c r="A7" t="str">
        <x:v>Inventory</x:v>
      </x:c>
      <x:c r="B7" s="48" t="n">
        <x:v>125</x:v>
      </x:c>
      <x:c r="C7" s="74" t="n">
        <x:f>'Annual_P&amp;L'!C7*'Assumptions'!C13/365</x:f>
        <x:v>131.4374709041096</x:v>
      </x:c>
      <x:c r="D7" s="74" t="n">
        <x:f>'Annual_P&amp;L'!D7*'Assumptions'!D13/365</x:f>
        <x:v>138.7283717260274</x:v>
      </x:c>
      <x:c r="E7" s="74" t="n">
        <x:f>'Annual_P&amp;L'!E7*'Assumptions'!E13/365</x:f>
        <x:v>143.24085424657537</x:v>
      </x:c>
      <x:c r="F7" s="74" t="n">
        <x:f>'Annual_P&amp;L'!F7*'Assumptions'!F13/365</x:f>
        <x:v>150.4832734246575</x:v>
      </x:c>
      <x:c r="G7" s="74" t="n">
        <x:f>'Annual_P&amp;L'!G7*'Assumptions'!G13/365</x:f>
        <x:v>154.303298630137</x:v>
      </x:c>
    </x:row>
    <x:row r="8">
      <x:c r="A8" t="str">
        <x:v>Other Current Assets</x:v>
      </x:c>
      <x:c r="B8" s="48" t="n">
        <x:v>80</x:v>
      </x:c>
      <x:c r="C8" s="74" t="n">
        <x:f>B8</x:f>
        <x:v>80</x:v>
      </x:c>
      <x:c r="D8" s="74" t="n">
        <x:f>C8</x:f>
        <x:v>80</x:v>
      </x:c>
      <x:c r="E8" s="74" t="n">
        <x:f>D8</x:f>
        <x:v>80</x:v>
      </x:c>
      <x:c r="F8" s="74" t="n">
        <x:f>E8</x:f>
        <x:v>80</x:v>
      </x:c>
      <x:c r="G8" s="74" t="n">
        <x:f>F8</x:f>
        <x:v>80</x:v>
      </x:c>
    </x:row>
    <x:row r="9">
      <x:c r="A9" t="str">
        <x:v>PP&amp;E</x:v>
      </x:c>
      <x:c r="B9" s="48" t="n">
        <x:v>300</x:v>
      </x:c>
      <x:c r="C9" s="74" t="n">
        <x:f>B9+'Assumptions'!C10-'Assumptions'!C8</x:f>
        <x:v>348</x:v>
      </x:c>
      <x:c r="D9" s="74" t="n">
        <x:f>C9+'Assumptions'!D10-'Assumptions'!D8</x:f>
        <x:v>406</x:v>
      </x:c>
      <x:c r="E9" s="74" t="n">
        <x:f>D9+'Assumptions'!E10-'Assumptions'!E8</x:f>
        <x:v>474</x:v>
      </x:c>
      <x:c r="F9" s="74" t="n">
        <x:f>E9+'Assumptions'!F10-'Assumptions'!F8</x:f>
        <x:v>552</x:v>
      </x:c>
      <x:c r="G9" s="74" t="n">
        <x:f>F9+'Assumptions'!G10-'Assumptions'!G8</x:f>
        <x:v>640</x:v>
      </x:c>
    </x:row>
    <x:row r="10">
      <x:c r="A10" t="str">
        <x:v>Other Assets</x:v>
      </x:c>
      <x:c r="B10" s="48" t="n">
        <x:v>155</x:v>
      </x:c>
      <x:c r="C10" s="74" t="n">
        <x:f>B10</x:f>
        <x:v>155</x:v>
      </x:c>
      <x:c r="D10" s="74" t="n">
        <x:f>C10</x:f>
        <x:v>155</x:v>
      </x:c>
      <x:c r="E10" s="74" t="n">
        <x:f>D10</x:f>
        <x:v>155</x:v>
      </x:c>
      <x:c r="F10" s="74" t="n">
        <x:f>E10</x:f>
        <x:v>155</x:v>
      </x:c>
      <x:c r="G10" s="74" t="n">
        <x:f>F10</x:f>
        <x:v>155</x:v>
      </x:c>
    </x:row>
    <x:row r="11">
      <x:c r="A11" t="str">
        <x:v>Total Assets</x:v>
      </x:c>
      <x:c r="B11" s="48" t="n">
        <x:f>SUM(B5:B10)</x:f>
        <x:v>1200</x:v>
      </x:c>
      <x:c r="C11" s="74" t="n">
        <x:f>SUM(C5:C10)</x:f>
        <x:v>1456.7557143342465</x:v>
      </x:c>
      <x:c r="D11" s="74" t="n">
        <x:f>SUM(D5:D10)</x:f>
        <x:v>1774.8112280657533</x:v>
      </x:c>
      <x:c r="E11" s="74" t="n">
        <x:f>SUM(E5:E10)</x:f>
        <x:v>2161.0710130219177</x:v>
      </x:c>
      <x:c r="F11" s="74" t="n">
        <x:f>SUM(F5:F10)</x:f>
        <x:v>2618.5827017342463</x:v>
      </x:c>
      <x:c r="G11" s="74" t="n">
        <x:f>SUM(G5:G10)</x:f>
        <x:v>3152.1241477616436</x:v>
      </x:c>
    </x:row>
    <x:row r="12">
      <x:c r="A12" t="str">
        <x:v>Accounts Payable</x:v>
      </x:c>
      <x:c r="B12" s="48" t="n">
        <x:v>105</x:v>
      </x:c>
      <x:c r="C12" s="74" t="n">
        <x:f>'Annual_P&amp;L'!C7*'Assumptions'!C14/365</x:f>
        <x:v>111.21632153424657</x:v>
      </x:c>
      <x:c r="D12" s="74" t="n">
        <x:f>'Annual_P&amp;L'!D7*'Assumptions'!D14/365</x:f>
        <x:v>119.98129446575342</x:v>
      </x:c>
      <x:c r="E12" s="74" t="n">
        <x:f>'Annual_P&amp;L'!E7*'Assumptions'!E14/365</x:f>
        <x:v>128.91676882191783</x:v>
      </x:c>
      <x:c r="F12" s="74" t="n">
        <x:f>'Annual_P&amp;L'!F7*'Assumptions'!F14/365</x:f>
        <x:v>137.20533753424658</x:v>
      </x:c>
      <x:c r="G12" s="74" t="n">
        <x:f>'Annual_P&amp;L'!G7*'Assumptions'!G14/365</x:f>
        <x:v>144.95158356164382</x:v>
      </x:c>
    </x:row>
    <x:row r="13">
      <x:c r="A13" t="str">
        <x:v>Other Current Liabilities</x:v>
      </x:c>
      <x:c r="B13" s="48" t="n">
        <x:v>110</x:v>
      </x:c>
      <x:c r="C13" s="74" t="n">
        <x:f>B13</x:f>
        <x:v>110</x:v>
      </x:c>
      <x:c r="D13" s="74" t="n">
        <x:f>C13</x:f>
        <x:v>110</x:v>
      </x:c>
      <x:c r="E13" s="74" t="n">
        <x:f>D13</x:f>
        <x:v>110</x:v>
      </x:c>
      <x:c r="F13" s="74" t="n">
        <x:f>E13</x:f>
        <x:v>110</x:v>
      </x:c>
      <x:c r="G13" s="74" t="n">
        <x:f>F13</x:f>
        <x:v>110</x:v>
      </x:c>
    </x:row>
    <x:row r="14">
      <x:c r="A14" t="str">
        <x:v>Debt</x:v>
      </x:c>
      <x:c r="B14" s="48" t="n">
        <x:v>75</x:v>
      </x:c>
      <x:c r="C14" s="74" t="n">
        <x:f>B14+'Assumptions'!C17</x:f>
        <x:v>75</x:v>
      </x:c>
      <x:c r="D14" s="74" t="n">
        <x:f>C14+'Assumptions'!D17</x:f>
        <x:v>75</x:v>
      </x:c>
      <x:c r="E14" s="74" t="n">
        <x:f>D14+'Assumptions'!E17</x:f>
        <x:v>75</x:v>
      </x:c>
      <x:c r="F14" s="74" t="n">
        <x:f>E14+'Assumptions'!F17</x:f>
        <x:v>75</x:v>
      </x:c>
      <x:c r="G14" s="74" t="n">
        <x:f>F14+'Assumptions'!G17</x:f>
        <x:v>75</x:v>
      </x:c>
    </x:row>
    <x:row r="15">
      <x:c r="A15" t="str">
        <x:v>Other Liabilities</x:v>
      </x:c>
      <x:c r="B15" s="48" t="n">
        <x:v>60</x:v>
      </x:c>
      <x:c r="C15" s="74" t="n">
        <x:f>B15</x:f>
        <x:v>60</x:v>
      </x:c>
      <x:c r="D15" s="74" t="n">
        <x:f>C15</x:f>
        <x:v>60</x:v>
      </x:c>
      <x:c r="E15" s="74" t="n">
        <x:f>D15</x:f>
        <x:v>60</x:v>
      </x:c>
      <x:c r="F15" s="74" t="n">
        <x:f>E15</x:f>
        <x:v>60</x:v>
      </x:c>
      <x:c r="G15" s="74" t="n">
        <x:f>F15</x:f>
        <x:v>60</x:v>
      </x:c>
    </x:row>
    <x:row r="16">
      <x:c r="A16" t="str">
        <x:v>Total Liabilities</x:v>
      </x:c>
      <x:c r="B16" s="48" t="n">
        <x:f>SUM(B12:B15)</x:f>
        <x:v>350</x:v>
      </x:c>
      <x:c r="C16" s="74" t="n">
        <x:f>SUM(C12:C15)</x:f>
        <x:v>356.21632153424656</x:v>
      </x:c>
      <x:c r="D16" s="74" t="n">
        <x:f>SUM(D12:D15)</x:f>
        <x:v>364.9812944657534</x:v>
      </x:c>
      <x:c r="E16" s="74" t="n">
        <x:f>SUM(E12:E15)</x:f>
        <x:v>373.9167688219178</x:v>
      </x:c>
      <x:c r="F16" s="74" t="n">
        <x:f>SUM(F12:F15)</x:f>
        <x:v>382.2053375342466</x:v>
      </x:c>
      <x:c r="G16" s="74" t="n">
        <x:f>SUM(G12:G15)</x:f>
        <x:v>389.9515835616438</x:v>
      </x:c>
    </x:row>
    <x:row r="17">
      <x:c r="A17" t="str">
        <x:v>Equity</x:v>
      </x:c>
      <x:c r="B17" s="48" t="n">
        <x:v>850</x:v>
      </x:c>
      <x:c r="C17" s="74" t="n">
        <x:f>B17+'Annual_P&amp;L'!C19+'Assumptions'!C9-'Assumptions'!C16</x:f>
        <x:v>1100.5393927999999</x:v>
      </x:c>
      <x:c r="D17" s="74" t="n">
        <x:f>C17+'Annual_P&amp;L'!D19+'Assumptions'!D9-'Assumptions'!D16</x:f>
        <x:v>1409.8299336</x:v>
      </x:c>
      <x:c r="E17" s="74" t="n">
        <x:f>D17+'Annual_P&amp;L'!E19+'Assumptions'!E9-'Assumptions'!E16</x:f>
        <x:v>1787.1542442</x:v>
      </x:c>
      <x:c r="F17" s="74" t="n">
        <x:f>E17+'Annual_P&amp;L'!F19+'Assumptions'!F9-'Assumptions'!F16</x:f>
        <x:v>2236.3773642</x:v>
      </x:c>
      <x:c r="G17" s="74" t="n">
        <x:f>F17+'Annual_P&amp;L'!G19+'Assumptions'!G9-'Assumptions'!G16</x:f>
        <x:v>2762.1725642</x:v>
      </x:c>
    </x:row>
    <x:row r="18">
      <x:c r="A18" t="str">
        <x:v>Total Liabilities &amp; Equity</x:v>
      </x:c>
      <x:c r="B18" s="48" t="n">
        <x:f>B16+B17</x:f>
        <x:v>1200</x:v>
      </x:c>
      <x:c r="C18" s="74" t="n">
        <x:f>C16+C17</x:f>
        <x:v>1456.7557143342465</x:v>
      </x:c>
      <x:c r="D18" s="74" t="n">
        <x:f>D16+D17</x:f>
        <x:v>1774.8112280657533</x:v>
      </x:c>
      <x:c r="E18" s="74" t="n">
        <x:f>E16+E17</x:f>
        <x:v>2161.0710130219177</x:v>
      </x:c>
      <x:c r="F18" s="74" t="n">
        <x:f>F16+F17</x:f>
        <x:v>2618.5827017342467</x:v>
      </x:c>
      <x:c r="G18" s="74" t="n">
        <x:f>G16+G17</x:f>
        <x:v>3152.124147761644</x:v>
      </x:c>
    </x:row>
    <x:row r="19">
      <x:c r="A19" t="str">
        <x:v>Balance Check</x:v>
      </x:c>
      <x:c r="B19" s="48" t="n">
        <x:f>B11-B18</x:f>
        <x:v>0</x:v>
      </x:c>
      <x:c r="C19" s="74" t="n">
        <x:f>C11-C18</x:f>
        <x:v>0</x:v>
      </x:c>
      <x:c r="D19" s="74" t="n">
        <x:f>D11-D18</x:f>
        <x:v>0</x:v>
      </x:c>
      <x:c r="E19" s="74" t="n">
        <x:f>E11-E18</x:f>
        <x:v>0</x:v>
      </x:c>
      <x:c r="F19" s="74" t="n">
        <x:f>F11-F18</x:f>
        <x:v>-4.547473508864641e-13</x:v>
      </x:c>
      <x:c r="G19" s="74" t="n">
        <x:f>G11-G18</x:f>
        <x:v>-4.547473508864641e-13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0" hidden="0" customWidth="1"/>
  </x:cols>
  <x:sheetData>
    <x:row r="1" ht="28" customHeight="1">
      <x:c r="A1" s="4" t="str">
        <x:v>Cash Flow and Capital Allocation</x:v>
      </x:c>
      <x:c r="B1" s="4" t="str">
        <x:v>Cash Flow and Capital Allocation</x:v>
      </x:c>
      <x:c r="C1" s="4" t="str">
        <x:v>Cash Flow and Capital Allocation</x:v>
      </x:c>
      <x:c r="D1" s="4" t="str">
        <x:v>Cash Flow and Capital Allocation</x:v>
      </x:c>
      <x:c r="E1" s="4" t="str">
        <x:v>Cash Flow and Capital Allocation</x:v>
      </x:c>
      <x:c r="F1" s="4" t="str">
        <x:v>Cash Flow and Capital Allocation</x:v>
      </x:c>
      <x:c r="G1" s="4" t="str">
        <x:v>Cash Flow and Capital Allocation</x:v>
      </x:c>
      <x:c r="H1" s="4" t="str">
        <x:v>Cash Flow and Capital Allocation</x:v>
      </x:c>
    </x:row>
    <x:row r="2" ht="36" customHeight="1">
      <x:c r="A2" s="11" t="str">
        <x:v>FCF separates earnings, non-cash items, working capital, capex, acquisitions, debt and buybacks.</x:v>
      </x:c>
      <x:c r="B2" s="11" t="str">
        <x:v>FCF separates earnings, non-cash items, working capital, capex, acquisitions, debt and buybacks.</x:v>
      </x:c>
      <x:c r="C2" s="11" t="str">
        <x:v>FCF separates earnings, non-cash items, working capital, capex, acquisitions, debt and buybacks.</x:v>
      </x:c>
      <x:c r="D2" s="11" t="str">
        <x:v>FCF separates earnings, non-cash items, working capital, capex, acquisitions, debt and buybacks.</x:v>
      </x:c>
      <x:c r="E2" s="11" t="str">
        <x:v>FCF separates earnings, non-cash items, working capital, capex, acquisitions, debt and buybacks.</x:v>
      </x:c>
      <x:c r="F2" s="11" t="str">
        <x:v>FCF separates earnings, non-cash items, working capital, capex, acquisitions, debt and buybacks.</x:v>
      </x:c>
      <x:c r="G2" s="11" t="str">
        <x:v>FCF separates earnings, non-cash items, working capital, capex, acquisitions, debt and buybacks.</x:v>
      </x:c>
      <x:c r="H2" s="11" t="str">
        <x:v>FCF separates earnings, non-cash items, working capital, capex, acquisitions, debt and buybacks.</x:v>
      </x:c>
    </x:row>
    <x:row r="4" ht="28" customHeight="1">
      <x:c r="A4" t="str">
        <x:v>$mm</x:v>
      </x:c>
      <x:c r="B4" s="26" t="str">
        <x:v>FY0</x:v>
      </x:c>
      <x:c r="C4" s="26" t="str">
        <x:v>FY+1</x:v>
      </x:c>
      <x:c r="D4" s="26" t="str">
        <x:v>FY+2</x:v>
      </x:c>
      <x:c r="E4" s="26" t="str">
        <x:v>FY+3</x:v>
      </x:c>
      <x:c r="F4" s="26" t="str">
        <x:v>FY+4</x:v>
      </x:c>
      <x:c r="G4" s="26" t="str">
        <x:v>FY+5</x:v>
      </x:c>
    </x:row>
    <x:row r="5">
      <x:c r="A5" t="str">
        <x:v>Net Income</x:v>
      </x:c>
      <x:c r="B5" s="74" t="n">
        <x:f>'Annual_P&amp;L'!B19</x:f>
        <x:v>177</x:v>
      </x:c>
      <x:c r="C5" s="74" t="n">
        <x:f>'Annual_P&amp;L'!C19</x:f>
        <x:v>225.53939279999992</x:v>
      </x:c>
      <x:c r="D5" s="74" t="n">
        <x:f>'Annual_P&amp;L'!D19</x:f>
        <x:v>287.29054080000003</x:v>
      </x:c>
      <x:c r="E5" s="74" t="n">
        <x:f>'Annual_P&amp;L'!E19</x:f>
        <x:v>359.32431059999993</x:v>
      </x:c>
      <x:c r="F5" s="74" t="n">
        <x:f>'Annual_P&amp;L'!F19</x:f>
        <x:v>435.22312</x:v>
      </x:c>
      <x:c r="G5" s="74" t="n">
        <x:f>'Annual_P&amp;L'!G19</x:f>
        <x:v>515.7952000000001</x:v>
      </x:c>
    </x:row>
    <x:row r="6">
      <x:c r="A6" t="str">
        <x:v>D&amp;A</x:v>
      </x:c>
      <x:c r="B6" s="74" t="n">
        <x:f>'Assumptions'!B8</x:f>
        <x:v>42</x:v>
      </x:c>
      <x:c r="C6" s="74" t="n">
        <x:f>'Assumptions'!C8</x:f>
        <x:v>47</x:v>
      </x:c>
      <x:c r="D6" s="74" t="n">
        <x:f>'Assumptions'!D8</x:f>
        <x:v>52</x:v>
      </x:c>
      <x:c r="E6" s="74" t="n">
        <x:f>'Assumptions'!E8</x:f>
        <x:v>57</x:v>
      </x:c>
      <x:c r="F6" s="74" t="n">
        <x:f>'Assumptions'!F8</x:f>
        <x:v>62</x:v>
      </x:c>
      <x:c r="G6" s="74" t="n">
        <x:f>'Assumptions'!G8</x:f>
        <x:v>67</x:v>
      </x:c>
    </x:row>
    <x:row r="7">
      <x:c r="A7" t="str">
        <x:v>SBC</x:v>
      </x:c>
      <x:c r="B7" s="74" t="n">
        <x:f>'Assumptions'!B9</x:f>
        <x:v>38</x:v>
      </x:c>
      <x:c r="C7" s="74" t="n">
        <x:f>'Assumptions'!C9</x:f>
        <x:v>45</x:v>
      </x:c>
      <x:c r="D7" s="74" t="n">
        <x:f>'Assumptions'!D9</x:f>
        <x:v>52</x:v>
      </x:c>
      <x:c r="E7" s="74" t="n">
        <x:f>'Assumptions'!E9</x:f>
        <x:v>58</x:v>
      </x:c>
      <x:c r="F7" s="74" t="n">
        <x:f>'Assumptions'!F9</x:f>
        <x:v>64</x:v>
      </x:c>
      <x:c r="G7" s="74" t="n">
        <x:f>'Assumptions'!G9</x:f>
        <x:v>70</x:v>
      </x:c>
    </x:row>
    <x:row r="8">
      <x:c r="A8" t="str">
        <x:v>Change in AR</x:v>
      </x:c>
      <x:c r="B8" s="74" t="n">
        <x:v>0</x:v>
      </x:c>
      <x:c r="C8" s="74" t="n">
        <x:f>'Balance_Sheet'!C6-'Balance_Sheet'!B6</x:f>
        <x:v>18.29172602739726</x:v>
      </x:c>
      <x:c r="D8" s="74" t="n">
        <x:f>'Balance_Sheet'!D6-'Balance_Sheet'!C6</x:f>
        <x:v>22.587682191780857</x:v>
      </x:c>
      <x:c r="E8" s="74" t="n">
        <x:f>'Balance_Sheet'!E6-'Balance_Sheet'!D6</x:f>
        <x:v>20.815123287671213</x:v>
      </x:c>
      <x:c r="F8" s="74" t="n">
        <x:f>'Balance_Sheet'!F6-'Balance_Sheet'!E6</x:f>
        <x:v>25.07903013698632</x:v>
      </x:c>
      <x:c r="G8" s="74" t="n">
        <x:f>'Balance_Sheet'!G6-'Balance_Sheet'!F6</x:f>
        <x:v>21.79288219178079</x:v>
      </x:c>
    </x:row>
    <x:row r="9">
      <x:c r="A9" t="str">
        <x:v>Change in Inventory</x:v>
      </x:c>
      <x:c r="B9" s="74" t="n">
        <x:v>0</x:v>
      </x:c>
      <x:c r="C9" s="74" t="n">
        <x:f>'Balance_Sheet'!C7-'Balance_Sheet'!B7</x:f>
        <x:v>6.4374709041096025</x:v>
      </x:c>
      <x:c r="D9" s="74" t="n">
        <x:f>'Balance_Sheet'!D7-'Balance_Sheet'!C7</x:f>
        <x:v>7.290900821917802</x:v>
      </x:c>
      <x:c r="E9" s="74" t="n">
        <x:f>'Balance_Sheet'!E7-'Balance_Sheet'!D7</x:f>
        <x:v>4.512482520547962</x:v>
      </x:c>
      <x:c r="F9" s="74" t="n">
        <x:f>'Balance_Sheet'!F7-'Balance_Sheet'!E7</x:f>
        <x:v>7.2424191780821445</x:v>
      </x:c>
      <x:c r="G9" s="74" t="n">
        <x:f>'Balance_Sheet'!G7-'Balance_Sheet'!F7</x:f>
        <x:v>3.8200252054794817</x:v>
      </x:c>
    </x:row>
    <x:row r="10">
      <x:c r="A10" t="str">
        <x:v>Change in AP</x:v>
      </x:c>
      <x:c r="B10" s="74" t="n">
        <x:v>0</x:v>
      </x:c>
      <x:c r="C10" s="74" t="n">
        <x:f>'Balance_Sheet'!C12-'Balance_Sheet'!B12</x:f>
        <x:v>6.216321534246575</x:v>
      </x:c>
      <x:c r="D10" s="74" t="n">
        <x:f>'Balance_Sheet'!D12-'Balance_Sheet'!C12</x:f>
        <x:v>8.764972931506847</x:v>
      </x:c>
      <x:c r="E10" s="74" t="n">
        <x:f>'Balance_Sheet'!E12-'Balance_Sheet'!D12</x:f>
        <x:v>8.935474356164406</x:v>
      </x:c>
      <x:c r="F10" s="74" t="n">
        <x:f>'Balance_Sheet'!F12-'Balance_Sheet'!E12</x:f>
        <x:v>8.288568712328754</x:v>
      </x:c>
      <x:c r="G10" s="74" t="n">
        <x:f>'Balance_Sheet'!G12-'Balance_Sheet'!F12</x:f>
        <x:v>7.746246027397234</x:v>
      </x:c>
    </x:row>
    <x:row r="11">
      <x:c r="A11" t="str">
        <x:v>Other Working Capital</x:v>
      </x:c>
      <x:c r="B11" s="74" t="n">
        <x:v>0</x:v>
      </x:c>
      <x:c r="C11" s="74" t="n">
        <x:v>0</x:v>
      </x:c>
      <x:c r="D11" s="74" t="n">
        <x:v>0</x:v>
      </x:c>
      <x:c r="E11" s="74" t="n">
        <x:v>0</x:v>
      </x:c>
      <x:c r="F11" s="74" t="n">
        <x:v>0</x:v>
      </x:c>
      <x:c r="G11" s="74" t="n">
        <x:v>0</x:v>
      </x:c>
    </x:row>
    <x:row r="12">
      <x:c r="A12" t="str">
        <x:v>Operating Cash Flow</x:v>
      </x:c>
      <x:c r="B12" s="74" t="n">
        <x:f>B5+B6+B7-B8-B9+B10-B11</x:f>
        <x:v>257</x:v>
      </x:c>
      <x:c r="C12" s="74" t="n">
        <x:f>C5+C6+C7-C8-C9+C10-C11</x:f>
        <x:v>299.0265174027396</x:v>
      </x:c>
      <x:c r="D12" s="74" t="n">
        <x:f>D5+D6+D7-D8-D9+D10-D11</x:f>
        <x:v>370.17693071780826</x:v>
      </x:c>
      <x:c r="E12" s="74" t="n">
        <x:f>E5+E6+E7-E8-E9+E10-E11</x:f>
        <x:v>457.93217914794513</x:v>
      </x:c>
      <x:c r="F12" s="74" t="n">
        <x:f>F5+F6+F7-F8-F9+F10-F11</x:f>
        <x:v>537.1902393972603</x:v>
      </x:c>
      <x:c r="G12" s="74" t="n">
        <x:f>G5+G6+G7-G8-G9+G10-G11</x:f>
        <x:v>634.928538630137</x:v>
      </x:c>
    </x:row>
    <x:row r="13">
      <x:c r="A13" t="str">
        <x:v>CapEx</x:v>
      </x:c>
      <x:c r="B13" s="74" t="n">
        <x:f>'Assumptions'!B10</x:f>
        <x:v>82</x:v>
      </x:c>
      <x:c r="C13" s="74" t="n">
        <x:f>'Assumptions'!C10</x:f>
        <x:v>95</x:v>
      </x:c>
      <x:c r="D13" s="74" t="n">
        <x:f>'Assumptions'!D10</x:f>
        <x:v>110</x:v>
      </x:c>
      <x:c r="E13" s="74" t="n">
        <x:f>'Assumptions'!E10</x:f>
        <x:v>125</x:v>
      </x:c>
      <x:c r="F13" s="74" t="n">
        <x:f>'Assumptions'!F10</x:f>
        <x:v>140</x:v>
      </x:c>
      <x:c r="G13" s="74" t="n">
        <x:f>'Assumptions'!G10</x:f>
        <x:v>155</x:v>
      </x:c>
    </x:row>
    <x:row r="14">
      <x:c r="A14" t="str">
        <x:v>Free Cash Flow before M&amp;A</x:v>
      </x:c>
      <x:c r="B14" s="74" t="n">
        <x:f>B12-B13</x:f>
        <x:v>175</x:v>
      </x:c>
      <x:c r="C14" s="74" t="n">
        <x:f>C12-C13</x:f>
        <x:v>204.02651740273961</x:v>
      </x:c>
      <x:c r="D14" s="74" t="n">
        <x:f>D12-D13</x:f>
        <x:v>260.17693071780826</x:v>
      </x:c>
      <x:c r="E14" s="74" t="n">
        <x:f>E12-E13</x:f>
        <x:v>332.93217914794513</x:v>
      </x:c>
      <x:c r="F14" s="74" t="n">
        <x:f>F12-F13</x:f>
        <x:v>397.19023939726026</x:v>
      </x:c>
      <x:c r="G14" s="74" t="n">
        <x:f>G12-G13</x:f>
        <x:v>479.92853863013704</x:v>
      </x:c>
    </x:row>
    <x:row r="15">
      <x:c r="A15" t="str">
        <x:v>Acquisitions</x:v>
      </x:c>
      <x:c r="B15" s="74" t="n">
        <x:f>'Assumptions'!B15</x:f>
        <x:v>0</x:v>
      </x:c>
      <x:c r="C15" s="74" t="n">
        <x:f>'Assumptions'!C15</x:f>
        <x:v>0</x:v>
      </x:c>
      <x:c r="D15" s="74" t="n">
        <x:f>'Assumptions'!D15</x:f>
        <x:v>0</x:v>
      </x:c>
      <x:c r="E15" s="74" t="n">
        <x:f>'Assumptions'!E15</x:f>
        <x:v>0</x:v>
      </x:c>
      <x:c r="F15" s="74" t="n">
        <x:f>'Assumptions'!F15</x:f>
        <x:v>0</x:v>
      </x:c>
      <x:c r="G15" s="74" t="n">
        <x:f>'Assumptions'!G15</x:f>
        <x:v>0</x:v>
      </x:c>
    </x:row>
    <x:row r="16">
      <x:c r="A16" t="str">
        <x:v>Debt issuance / (repayment)</x:v>
      </x:c>
      <x:c r="B16" s="74" t="n">
        <x:f>'Assumptions'!B17</x:f>
        <x:v>0</x:v>
      </x:c>
      <x:c r="C16" s="74" t="n">
        <x:f>'Assumptions'!C17</x:f>
        <x:v>0</x:v>
      </x:c>
      <x:c r="D16" s="74" t="n">
        <x:f>'Assumptions'!D17</x:f>
        <x:v>0</x:v>
      </x:c>
      <x:c r="E16" s="74" t="n">
        <x:f>'Assumptions'!E17</x:f>
        <x:v>0</x:v>
      </x:c>
      <x:c r="F16" s="74" t="n">
        <x:f>'Assumptions'!F17</x:f>
        <x:v>0</x:v>
      </x:c>
      <x:c r="G16" s="74" t="n">
        <x:f>'Assumptions'!G17</x:f>
        <x:v>0</x:v>
      </x:c>
    </x:row>
    <x:row r="17">
      <x:c r="A17" t="str">
        <x:v>Buybacks</x:v>
      </x:c>
      <x:c r="B17" s="74" t="n">
        <x:f>'Assumptions'!B16</x:f>
        <x:v>0</x:v>
      </x:c>
      <x:c r="C17" s="74" t="n">
        <x:f>'Assumptions'!C16</x:f>
        <x:v>20</x:v>
      </x:c>
      <x:c r="D17" s="74" t="n">
        <x:f>'Assumptions'!D16</x:f>
        <x:v>30</x:v>
      </x:c>
      <x:c r="E17" s="74" t="n">
        <x:f>'Assumptions'!E16</x:f>
        <x:v>40</x:v>
      </x:c>
      <x:c r="F17" s="74" t="n">
        <x:f>'Assumptions'!F16</x:f>
        <x:v>50</x:v>
      </x:c>
      <x:c r="G17" s="74" t="n">
        <x:f>'Assumptions'!G16</x:f>
        <x:v>60</x:v>
      </x:c>
    </x:row>
    <x:row r="18">
      <x:c r="A18" t="str">
        <x:v>Net Cash Change</x:v>
      </x:c>
      <x:c r="B18" s="74" t="n">
        <x:v>0</x:v>
      </x:c>
      <x:c r="C18" s="74" t="n">
        <x:f>C14-C15+C16-C17</x:f>
        <x:v>184.02651740273961</x:v>
      </x:c>
      <x:c r="D18" s="74" t="n">
        <x:f>D14-D15+D16-D17</x:f>
        <x:v>230.17693071780826</x:v>
      </x:c>
      <x:c r="E18" s="74" t="n">
        <x:f>E14-E15+E16-E17</x:f>
        <x:v>292.93217914794513</x:v>
      </x:c>
      <x:c r="F18" s="74" t="n">
        <x:f>F14-F15+F16-F17</x:f>
        <x:v>347.19023939726026</x:v>
      </x:c>
      <x:c r="G18" s="74" t="n">
        <x:f>G14-G15+G16-G17</x:f>
        <x:v>419.92853863013704</x:v>
      </x:c>
    </x:row>
    <x:row r="19">
      <x:c r="A19" t="str">
        <x:v>Beginning Cash</x:v>
      </x:c>
      <x:c r="B19" s="74" t="n">
        <x:f>'Balance_Sheet'!B5</x:f>
        <x:v>350</x:v>
      </x:c>
      <x:c r="C19" s="74" t="n">
        <x:f>B20</x:f>
        <x:v>350</x:v>
      </x:c>
      <x:c r="D19" s="74" t="n">
        <x:f>C20</x:f>
        <x:v>534.0265174027396</x:v>
      </x:c>
      <x:c r="E19" s="74" t="n">
        <x:f>D20</x:f>
        <x:v>764.2034481205478</x:v>
      </x:c>
      <x:c r="F19" s="74" t="n">
        <x:f>E20</x:f>
        <x:v>1057.135627268493</x:v>
      </x:c>
      <x:c r="G19" s="74" t="n">
        <x:f>F20</x:f>
        <x:v>1404.3258666657532</x:v>
      </x:c>
    </x:row>
    <x:row r="20">
      <x:c r="A20" t="str">
        <x:v>Ending Cash</x:v>
      </x:c>
      <x:c r="B20" s="74" t="n">
        <x:f>'Balance_Sheet'!B5</x:f>
        <x:v>350</x:v>
      </x:c>
      <x:c r="C20" s="74" t="n">
        <x:f>C19+C18</x:f>
        <x:v>534.0265174027396</x:v>
      </x:c>
      <x:c r="D20" s="74" t="n">
        <x:f>D19+D18</x:f>
        <x:v>764.2034481205478</x:v>
      </x:c>
      <x:c r="E20" s="74" t="n">
        <x:f>E19+E18</x:f>
        <x:v>1057.135627268493</x:v>
      </x:c>
      <x:c r="F20" s="74" t="n">
        <x:f>F19+F18</x:f>
        <x:v>1404.3258666657532</x:v>
      </x:c>
      <x:c r="G20" s="74" t="n">
        <x:f>G19+G18</x:f>
        <x:v>1824.2544052958901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d3651696b924c5e"/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0" hidden="0" customWidth="1"/>
    <x:col min="10" max="10" width="10" hidden="0" customWidth="1"/>
  </x:cols>
  <x:sheetData>
    <x:row r="1" ht="28" customHeight="1">
      <x:c r="A1" s="4" t="str">
        <x:v>Bear / Base / Bull / Regime-Break Scenarios</x:v>
      </x:c>
      <x:c r="B1" s="4" t="str">
        <x:v>Bear / Base / Bull / Regime-Break Scenarios</x:v>
      </x:c>
      <x:c r="C1" s="4" t="str">
        <x:v>Bear / Base / Bull / Regime-Break Scenarios</x:v>
      </x:c>
      <x:c r="D1" s="4" t="str">
        <x:v>Bear / Base / Bull / Regime-Break Scenarios</x:v>
      </x:c>
      <x:c r="E1" s="4" t="str">
        <x:v>Bear / Base / Bull / Regime-Break Scenarios</x:v>
      </x:c>
      <x:c r="F1" s="4" t="str">
        <x:v>Bear / Base / Bull / Regime-Break Scenarios</x:v>
      </x:c>
      <x:c r="G1" s="4" t="str">
        <x:v>Bear / Base / Bull / Regime-Break Scenarios</x:v>
      </x:c>
      <x:c r="H1" s="4" t="str">
        <x:v>Bear / Base / Bull / Regime-Break Scenarios</x:v>
      </x:c>
      <x:c r="I1" s="4" t="str">
        <x:v>Bear / Base / Bull / Regime-Break Scenarios</x:v>
      </x:c>
      <x:c r="J1" s="4" t="str">
        <x:v>Bear / Base / Bull / Regime-Break Scenarios</x:v>
      </x:c>
    </x:row>
    <x:row r="2" ht="36" customHeight="1">
      <x:c r="A2" s="11" t="str">
        <x:v>Scenario outputs apply explicit revenue and margin deltas. Probabilities must sum to 100%. FY+3 and beyond should be interpreted as distributions.</x:v>
      </x:c>
      <x:c r="B2" s="11" t="str">
        <x:v>Scenario outputs apply explicit revenue and margin deltas. Probabilities must sum to 100%. FY+3 and beyond should be interpreted as distributions.</x:v>
      </x:c>
      <x:c r="C2" s="11" t="str">
        <x:v>Scenario outputs apply explicit revenue and margin deltas. Probabilities must sum to 100%. FY+3 and beyond should be interpreted as distributions.</x:v>
      </x:c>
      <x:c r="D2" s="11" t="str">
        <x:v>Scenario outputs apply explicit revenue and margin deltas. Probabilities must sum to 100%. FY+3 and beyond should be interpreted as distributions.</x:v>
      </x:c>
      <x:c r="E2" s="11" t="str">
        <x:v>Scenario outputs apply explicit revenue and margin deltas. Probabilities must sum to 100%. FY+3 and beyond should be interpreted as distributions.</x:v>
      </x:c>
      <x:c r="F2" s="11" t="str">
        <x:v>Scenario outputs apply explicit revenue and margin deltas. Probabilities must sum to 100%. FY+3 and beyond should be interpreted as distributions.</x:v>
      </x:c>
      <x:c r="G2" s="11" t="str">
        <x:v>Scenario outputs apply explicit revenue and margin deltas. Probabilities must sum to 100%. FY+3 and beyond should be interpreted as distributions.</x:v>
      </x:c>
      <x:c r="H2" s="11" t="str">
        <x:v>Scenario outputs apply explicit revenue and margin deltas. Probabilities must sum to 100%. FY+3 and beyond should be interpreted as distributions.</x:v>
      </x:c>
      <x:c r="I2" s="11" t="str">
        <x:v>Scenario outputs apply explicit revenue and margin deltas. Probabilities must sum to 100%. FY+3 and beyond should be interpreted as distributions.</x:v>
      </x:c>
      <x:c r="J2" s="11" t="str">
        <x:v>Scenario outputs apply explicit revenue and margin deltas. Probabilities must sum to 100%. FY+3 and beyond should be interpreted as distributions.</x:v>
      </x:c>
    </x:row>
    <x:row r="4" ht="28" customHeight="1">
      <x:c r="A4" s="26" t="str">
        <x:v>Scenario</x:v>
      </x:c>
      <x:c r="B4" s="26" t="str">
        <x:v>Probability</x:v>
      </x:c>
      <x:c r="C4" s="26" t="str">
        <x:v>FY+2 Revenue delta</x:v>
      </x:c>
      <x:c r="D4" s="26" t="str">
        <x:v>FY+2 Margin delta</x:v>
      </x:c>
      <x:c r="E4" s="26" t="str">
        <x:v>FY+3 Revenue delta</x:v>
      </x:c>
      <x:c r="F4" s="26" t="str">
        <x:v>FY+3 Margin delta</x:v>
      </x:c>
      <x:c r="G4" s="26" t="str">
        <x:v>FY+2 Net Income</x:v>
      </x:c>
      <x:c r="H4" s="26" t="str">
        <x:v>FY+3 Net Income</x:v>
      </x:c>
    </x:row>
    <x:row r="5">
      <x:c r="A5" s="34" t="str">
        <x:v>Bear</x:v>
      </x:c>
      <x:c r="B5" s="54" t="n">
        <x:v>0.2</x:v>
      </x:c>
      <x:c r="C5" s="54" t="n">
        <x:v>-0.15</x:v>
      </x:c>
      <x:c r="D5" s="54" t="n">
        <x:v>-0.05</x:v>
      </x:c>
      <x:c r="E5" s="54" t="n">
        <x:v>-0.25</x:v>
      </x:c>
      <x:c r="F5" s="54" t="n">
        <x:v>-0.1</x:v>
      </x:c>
      <x:c r="G5" s="56" t="n">
        <x:f>('Annual_P&amp;L'!D5*(1+C5))*('Annual_P&amp;L'!D20+D5)</x:f>
        <x:v>182.44666968000007</x:v>
      </x:c>
      <x:c r="H5" s="56" t="n">
        <x:f>('Annual_P&amp;L'!E5*(1+E5))*('Annual_P&amp;L'!E20+F5)</x:f>
        <x:v>146.45505794999994</x:v>
      </x:c>
    </x:row>
    <x:row r="6">
      <x:c r="A6" s="34" t="str">
        <x:v>Base</x:v>
      </x:c>
      <x:c r="B6" s="54" t="n">
        <x:v>0.55</x:v>
      </x:c>
      <x:c r="C6" s="54" t="n">
        <x:v>0</x:v>
      </x:c>
      <x:c r="D6" s="54" t="n">
        <x:v>0</x:v>
      </x:c>
      <x:c r="E6" s="54" t="n">
        <x:v>0</x:v>
      </x:c>
      <x:c r="F6" s="54" t="n">
        <x:v>0</x:v>
      </x:c>
      <x:c r="G6" s="56" t="n">
        <x:f>('Annual_P&amp;L'!D5*(1+C6))*('Annual_P&amp;L'!D20+D6)</x:f>
        <x:v>287.29054080000003</x:v>
      </x:c>
      <x:c r="H6" s="56" t="n">
        <x:f>('Annual_P&amp;L'!E5*(1+E6))*('Annual_P&amp;L'!E20+F6)</x:f>
        <x:v>359.32431059999993</x:v>
      </x:c>
    </x:row>
    <x:row r="7">
      <x:c r="A7" s="34" t="str">
        <x:v>Bull</x:v>
      </x:c>
      <x:c r="B7" s="54" t="n">
        <x:v>0.2</x:v>
      </x:c>
      <x:c r="C7" s="54" t="n">
        <x:v>0.15</x:v>
      </x:c>
      <x:c r="D7" s="54" t="n">
        <x:v>0.04</x:v>
      </x:c>
      <x:c r="E7" s="54" t="n">
        <x:v>0.25</x:v>
      </x:c>
      <x:c r="F7" s="54" t="n">
        <x:v>0.07</x:v>
      </x:c>
      <x:c r="G7" s="56" t="n">
        <x:f>('Annual_P&amp;L'!D5*(1+C7))*('Annual_P&amp;L'!D20+D7)</x:f>
        <x:v>397.2197299200001</x:v>
      </x:c>
      <x:c r="H7" s="56" t="n">
        <x:f>('Annual_P&amp;L'!E5*(1+E7))*('Annual_P&amp;L'!E20+F7)</x:f>
        <x:v>592.6999257499999</x:v>
      </x:c>
    </x:row>
    <x:row r="8">
      <x:c r="A8" s="34" t="str">
        <x:v>Regime Break</x:v>
      </x:c>
      <x:c r="B8" s="54" t="n">
        <x:v>0.05</x:v>
      </x:c>
      <x:c r="C8" s="54" t="n">
        <x:v>-0.35</x:v>
      </x:c>
      <x:c r="D8" s="54" t="n">
        <x:v>-0.15</x:v>
      </x:c>
      <x:c r="E8" s="54" t="n">
        <x:v>-0.6</x:v>
      </x:c>
      <x:c r="F8" s="54" t="n">
        <x:v>-0.3</x:v>
      </x:c>
      <x:c r="G8" s="56" t="n">
        <x:f>('Annual_P&amp;L'!D5*(1+C8))*('Annual_P&amp;L'!D20+D8)</x:f>
        <x:v>45.076421520000025</x:v>
      </x:c>
      <x:c r="H8" s="56" t="n">
        <x:f>('Annual_P&amp;L'!E5*(1+E8))*('Annual_P&amp;L'!E20+F8)</x:f>
        <x:v>-53.13135576000003</x:v>
      </x:c>
    </x:row>
    <x:row r="11" ht="21" customHeight="1">
      <x:c r="A11" s="18" t="str">
        <x:v>Probability-weighted outputs</x:v>
      </x:c>
      <x:c r="B11" s="18" t="str">
        <x:v>Probability-weighted outputs</x:v>
      </x:c>
      <x:c r="C11" s="18" t="str">
        <x:v>Probability-weighted outputs</x:v>
      </x:c>
      <x:c r="D11" s="18" t="str">
        <x:v>Probability-weighted outputs</x:v>
      </x:c>
      <x:c r="E11" s="18" t="str">
        <x:v>Probability-weighted outputs</x:v>
      </x:c>
      <x:c r="F11" s="18" t="str">
        <x:v>Probability-weighted outputs</x:v>
      </x:c>
      <x:c r="G11" s="18" t="str">
        <x:v>Probability-weighted outputs</x:v>
      </x:c>
      <x:c r="H11" s="18" t="str">
        <x:v>Probability-weighted outputs</x:v>
      </x:c>
      <x:c r="I11" s="18" t="str">
        <x:v>Probability-weighted outputs</x:v>
      </x:c>
      <x:c r="J11" s="18" t="str">
        <x:v>Probability-weighted outputs</x:v>
      </x:c>
    </x:row>
    <x:row r="12" ht="28" customHeight="1">
      <x:c r="A12" s="26" t="str">
        <x:v>Metric</x:v>
      </x:c>
      <x:c r="B12" s="26" t="str">
        <x:v>Value</x:v>
      </x:c>
      <x:c r="C12" s="26" t="str">
        <x:v>Formula</x:v>
      </x:c>
      <x:c r="D12" s="26" t="str">
        <x:v>Check</x:v>
      </x:c>
    </x:row>
    <x:row r="13">
      <x:c r="A13" t="str">
        <x:v>Probability sum</x:v>
      </x:c>
      <x:c r="B13" s="50" t="n">
        <x:f>SUM(B5:B8)</x:f>
        <x:v>1</x:v>
      </x:c>
      <x:c r="C13" t="str">
        <x:v>SUM probabilities</x:v>
      </x:c>
      <x:c r="D13" t="str"/>
    </x:row>
    <x:row r="14">
      <x:c r="A14" t="str">
        <x:v>FY+2 weighted net income</x:v>
      </x:c>
      <x:c r="B14" s="56" t="n">
        <x:f>SUMPRODUCT(B5:B8,G5:G8)</x:f>
        <x:v>276.1968984360001</x:v>
      </x:c>
      <x:c r="C14" t="str">
        <x:v>SUMPRODUCT</x:v>
      </x:c>
      <x:c r="D14" t="str"/>
    </x:row>
    <x:row r="15">
      <x:c r="A15" t="str">
        <x:v>FY+3 weighted net income</x:v>
      </x:c>
      <x:c r="B15" s="56" t="n">
        <x:f>SUMPRODUCT(B5:B8,H5:H8)</x:f>
        <x:v>342.8027997819999</x:v>
      </x:c>
      <x:c r="C15" t="str">
        <x:v>SUMPRODUCT</x:v>
      </x:c>
      <x:c r="D15" t="str"/>
    </x:row>
    <x:row r="16">
      <x:c r="A16" t="str">
        <x:v>FY+3 severe-loss probability</x:v>
      </x:c>
      <x:c r="B16" s="50" t="n">
        <x:f>B8+IF(H5&lt;0,B5,0)</x:f>
        <x:v>0.05</x:v>
      </x:c>
      <x:c r="C16" t="str">
        <x:v>Regime + loss-bearing Bear</x:v>
      </x:c>
      <x:c r="D16" t="str"/>
    </x:row>
  </x:sheetData>
  <x:mergeCells>
    <x:mergeCell ref="A1:J1"/>
    <x:mergeCell ref="A2:J2"/>
    <x:mergeCell ref="A11:J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5" hidden="0" customWidth="1"/>
    <x:col min="8" max="8" width="27" hidden="0" customWidth="1"/>
    <x:col min="9" max="9" width="18" hidden="0" customWidth="1"/>
    <x:col min="10" max="10" width="28" hidden="0" customWidth="1"/>
  </x:cols>
  <x:sheetData>
    <x:row r="1" ht="28" customHeight="1">
      <x:c r="A1" s="4" t="str">
        <x:v>Valuation — DCF, Multiples and Equity Bridge</x:v>
      </x:c>
      <x:c r="B1" s="4" t="str">
        <x:v>Valuation — DCF, Multiples and Equity Bridge</x:v>
      </x:c>
      <x:c r="C1" s="4" t="str">
        <x:v>Valuation — DCF, Multiples and Equity Bridge</x:v>
      </x:c>
      <x:c r="D1" s="4" t="str">
        <x:v>Valuation — DCF, Multiples and Equity Bridge</x:v>
      </x:c>
      <x:c r="E1" s="4" t="str">
        <x:v>Valuation — DCF, Multiples and Equity Bridge</x:v>
      </x:c>
      <x:c r="F1" s="4" t="str">
        <x:v>Valuation — DCF, Multiples and Equity Bridge</x:v>
      </x:c>
      <x:c r="G1" s="4" t="str">
        <x:v>Valuation — DCF, Multiples and Equity Bridge</x:v>
      </x:c>
      <x:c r="H1" s="4" t="str">
        <x:v>Valuation — DCF, Multiples and Equity Bridge</x:v>
      </x:c>
      <x:c r="I1" s="4" t="str">
        <x:v>Valuation — DCF, Multiples and Equity Bridge</x:v>
      </x:c>
      <x:c r="J1" s="4" t="str">
        <x:v>Valuation — DCF, Multiples and Equity Bridge</x:v>
      </x:c>
    </x:row>
    <x:row r="2" ht="36" customHeight="1">
      <x:c r="A2" s="11" t="str">
        <x:v>Use historical as-of price in training mode. Values are illustrative and formula-driven.</x:v>
      </x:c>
      <x:c r="B2" s="11" t="str">
        <x:v>Use historical as-of price in training mode. Values are illustrative and formula-driven.</x:v>
      </x:c>
      <x:c r="C2" s="11" t="str">
        <x:v>Use historical as-of price in training mode. Values are illustrative and formula-driven.</x:v>
      </x:c>
      <x:c r="D2" s="11" t="str">
        <x:v>Use historical as-of price in training mode. Values are illustrative and formula-driven.</x:v>
      </x:c>
      <x:c r="E2" s="11" t="str">
        <x:v>Use historical as-of price in training mode. Values are illustrative and formula-driven.</x:v>
      </x:c>
      <x:c r="F2" s="11" t="str">
        <x:v>Use historical as-of price in training mode. Values are illustrative and formula-driven.</x:v>
      </x:c>
      <x:c r="G2" s="11" t="str">
        <x:v>Use historical as-of price in training mode. Values are illustrative and formula-driven.</x:v>
      </x:c>
      <x:c r="H2" s="11" t="str">
        <x:v>Use historical as-of price in training mode. Values are illustrative and formula-driven.</x:v>
      </x:c>
      <x:c r="I2" s="11" t="str">
        <x:v>Use historical as-of price in training mode. Values are illustrative and formula-driven.</x:v>
      </x:c>
      <x:c r="J2" s="11" t="str">
        <x:v>Use historical as-of price in training mode. Values are illustrative and formula-driven.</x:v>
      </x:c>
    </x:row>
    <x:row r="4" ht="21" customHeight="1">
      <x:c r="A4" s="18" t="str">
        <x:v>DCF</x:v>
      </x:c>
      <x:c r="B4" s="18" t="str">
        <x:v>DCF</x:v>
      </x:c>
      <x:c r="C4" s="18" t="str">
        <x:v>DCF</x:v>
      </x:c>
      <x:c r="D4" s="18" t="str">
        <x:v>DCF</x:v>
      </x:c>
      <x:c r="E4" s="18" t="str">
        <x:v>DCF</x:v>
      </x:c>
      <x:c r="F4" s="18" t="str">
        <x:v>DCF</x:v>
      </x:c>
      <x:c r="H4" s="18" t="str">
        <x:v>Multiples cross-check</x:v>
      </x:c>
      <x:c r="I4" s="18" t="str">
        <x:v>Multiples cross-check</x:v>
      </x:c>
      <x:c r="J4" s="18" t="str">
        <x:v>Multiples cross-check</x:v>
      </x:c>
    </x:row>
    <x:row r="5" ht="28" customHeight="1">
      <x:c r="A5" s="26" t="str">
        <x:v>Item</x:v>
      </x:c>
      <x:c r="B5" s="26" t="str">
        <x:v>FY+1</x:v>
      </x:c>
      <x:c r="C5" s="26" t="str">
        <x:v>FY+2</x:v>
      </x:c>
      <x:c r="D5" s="26" t="str">
        <x:v>FY+3</x:v>
      </x:c>
      <x:c r="E5" s="26" t="str">
        <x:v>FY+4</x:v>
      </x:c>
      <x:c r="F5" s="26" t="str">
        <x:v>FY+5</x:v>
      </x:c>
      <x:c r="H5" s="26" t="str">
        <x:v>Item</x:v>
      </x:c>
      <x:c r="I5" s="26" t="str">
        <x:v>Value</x:v>
      </x:c>
      <x:c r="J5" s="26" t="str">
        <x:v>Use</x:v>
      </x:c>
    </x:row>
    <x:row r="6">
      <x:c r="A6" t="str">
        <x:v>FCF</x:v>
      </x:c>
      <x:c r="B6" s="56" t="n">
        <x:f>'Cash_Flow'!C14</x:f>
        <x:v>204.02651740273961</x:v>
      </x:c>
      <x:c r="C6" s="56" t="n">
        <x:f>'Cash_Flow'!D14</x:f>
        <x:v>260.17693071780826</x:v>
      </x:c>
      <x:c r="D6" s="56" t="n">
        <x:f>'Cash_Flow'!E14</x:f>
        <x:v>332.93217914794513</x:v>
      </x:c>
      <x:c r="E6" s="56" t="n">
        <x:f>'Cash_Flow'!F14</x:f>
        <x:v>397.19023939726026</x:v>
      </x:c>
      <x:c r="F6" s="56" t="n">
        <x:f>'Cash_Flow'!G14</x:f>
        <x:v>479.92853863013704</x:v>
      </x:c>
      <x:c r="H6" t="str">
        <x:v>FY+3 Operating Income</x:v>
      </x:c>
      <x:c r="I6" s="56" t="n">
        <x:f>'Annual_P&amp;L'!E13</x:f>
        <x:v>439.6102599999999</x:v>
      </x:c>
      <x:c r="J6" t="str">
        <x:v>Normalized reference</x:v>
      </x:c>
    </x:row>
    <x:row r="7">
      <x:c r="A7" t="str">
        <x:v>Discount factor</x:v>
      </x:c>
      <x:c r="B7" s="56" t="n">
        <x:f>1/(1+'Assumptions'!C18)^1</x:f>
        <x:v>0.9090909090909091</x:v>
      </x:c>
      <x:c r="C7" s="56" t="n">
        <x:f>1/(1+'Assumptions'!D18)^2</x:f>
        <x:v>0.8264462809917354</x:v>
      </x:c>
      <x:c r="D7" s="56" t="n">
        <x:f>1/(1+'Assumptions'!E18)^3</x:f>
        <x:v>0.7513148009015775</x:v>
      </x:c>
      <x:c r="E7" s="56" t="n">
        <x:f>1/(1+'Assumptions'!F18)^4</x:f>
        <x:v>0.6830134553650705</x:v>
      </x:c>
      <x:c r="F7" s="56" t="n">
        <x:f>1/(1+'Assumptions'!G18)^5</x:f>
        <x:v>0.6209213230591549</x:v>
      </x:c>
      <x:c r="H7" t="str">
        <x:v>Exit EBIT multiple</x:v>
      </x:c>
      <x:c r="I7" s="84" t="n">
        <x:f>'Assumptions'!E20</x:f>
        <x:v>14</x:v>
      </x:c>
      <x:c r="J7" t="str">
        <x:v>Assumption</x:v>
      </x:c>
    </x:row>
    <x:row r="8">
      <x:c r="A8" t="str">
        <x:v>PV of FCF</x:v>
      </x:c>
      <x:c r="B8" s="56" t="n">
        <x:f>B6*B7</x:f>
        <x:v>185.47865218430874</x:v>
      </x:c>
      <x:c r="C8" s="56" t="n">
        <x:f>C6*C7</x:f>
        <x:v>215.02225679157706</x:v>
      </x:c>
      <x:c r="D8" s="56" t="n">
        <x:f>D6*D7</x:f>
        <x:v>250.13687389026674</x:v>
      </x:c>
      <x:c r="E8" s="56" t="n">
        <x:f>E6*E7</x:f>
        <x:v>271.28627784800227</x:v>
      </x:c>
      <x:c r="F8" s="56" t="n">
        <x:f>F6*F7</x:f>
        <x:v>297.9978631800714</x:v>
      </x:c>
      <x:c r="H8" t="str">
        <x:v>Enterprise value</x:v>
      </x:c>
      <x:c r="I8" s="56" t="n">
        <x:f>I6*I7</x:f>
        <x:v>6154.543639999999</x:v>
      </x:c>
      <x:c r="J8" t="str">
        <x:v>EBIT × multiple</x:v>
      </x:c>
    </x:row>
    <x:row r="9">
      <x:c r="A9" t="str">
        <x:v>Terminal FCF</x:v>
      </x:c>
      <x:c r="B9" s="56"/>
      <x:c r="C9" s="56"/>
      <x:c r="D9" s="56"/>
      <x:c r="E9" s="56"/>
      <x:c r="F9" s="56" t="n">
        <x:f>F6*(1+'Assumptions'!G19)</x:f>
        <x:v>494.32639478904116</x:v>
      </x:c>
      <x:c r="H9" t="str">
        <x:v>Net cash</x:v>
      </x:c>
      <x:c r="I9" s="56" t="n">
        <x:f>'Balance_Sheet'!E5-'Balance_Sheet'!E14</x:f>
        <x:v>982.135627268493</x:v>
      </x:c>
      <x:c r="J9" t="str">
        <x:v>Equity bridge</x:v>
      </x:c>
    </x:row>
    <x:row r="10">
      <x:c r="A10" t="str">
        <x:v>Terminal value</x:v>
      </x:c>
      <x:c r="B10" s="56"/>
      <x:c r="C10" s="56"/>
      <x:c r="D10" s="56"/>
      <x:c r="E10" s="56"/>
      <x:c r="F10" s="56" t="n">
        <x:f>F9/('Assumptions'!G18-'Assumptions'!G19)</x:f>
        <x:v>7061.805639843445</x:v>
      </x:c>
      <x:c r="H10" t="str">
        <x:v>Equity value / share</x:v>
      </x:c>
      <x:c r="I10" s="82" t="n">
        <x:f>(I8+I9)/'Annual_P&amp;L'!E21</x:f>
        <x:v>70.45093057520721</x:v>
      </x:c>
      <x:c r="J10" t="str">
        <x:v>Cross-check</x:v>
      </x:c>
    </x:row>
    <x:row r="11">
      <x:c r="A11" t="str">
        <x:v>PV of terminal value</x:v>
      </x:c>
      <x:c r="B11" s="56"/>
      <x:c r="C11" s="56"/>
      <x:c r="D11" s="56"/>
      <x:c r="E11" s="56"/>
      <x:c r="F11" s="56" t="n">
        <x:f>F10*F7</x:f>
        <x:v>4384.825701078194</x:v>
      </x:c>
      <x:c r="H11" t="str">
        <x:v>Current price</x:v>
      </x:c>
      <x:c r="I11" s="82" t="n">
        <x:f>'README_Control'!B15</x:f>
        <x:v>50</x:v>
      </x:c>
      <x:c r="J11" t="str">
        <x:v>Control input</x:v>
      </x:c>
    </x:row>
    <x:row r="12">
      <x:c r="A12" t="str">
        <x:v>Enterprise value</x:v>
      </x:c>
      <x:c r="B12" s="56"/>
      <x:c r="C12" s="56"/>
      <x:c r="D12" s="56"/>
      <x:c r="E12" s="56"/>
      <x:c r="F12" s="56" t="n">
        <x:f>SUM(B8:F8)+F11</x:f>
        <x:v>5604.7476249724195</x:v>
      </x:c>
    </x:row>
    <x:row r="13">
      <x:c r="A13" t="str">
        <x:v>Net cash</x:v>
      </x:c>
      <x:c r="B13" s="56"/>
      <x:c r="C13" s="56"/>
      <x:c r="D13" s="56"/>
      <x:c r="E13" s="56"/>
      <x:c r="F13" s="56" t="n">
        <x:f>'Balance_Sheet'!G5-'Balance_Sheet'!G14</x:f>
        <x:v>1749.2544052958901</x:v>
      </x:c>
    </x:row>
    <x:row r="14">
      <x:c r="A14" t="str">
        <x:v>Equity value / share</x:v>
      </x:c>
      <x:c r="B14"/>
      <x:c r="C14"/>
      <x:c r="D14"/>
      <x:c r="E14"/>
      <x:c r="F14" s="82" t="n">
        <x:f>(F12+F13)/'Annual_P&amp;L'!G21</x:f>
        <x:v>72.2539008672461</x:v>
      </x:c>
    </x:row>
  </x:sheetData>
  <x:mergeCells>
    <x:mergeCell ref="A1:J1"/>
    <x:mergeCell ref="A2:J2"/>
    <x:mergeCell ref="A4:F4"/>
    <x:mergeCell ref="H4:J4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  <x:col min="4" max="4" width="37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4" t="str">
        <x:v>Market-Implied Reverse Model</x:v>
      </x:c>
      <x:c r="B1" s="4" t="str">
        <x:v>Market-Implied Reverse Model</x:v>
      </x:c>
      <x:c r="C1" s="4" t="str">
        <x:v>Market-Implied Reverse Model</x:v>
      </x:c>
      <x:c r="D1" s="4" t="str">
        <x:v>Market-Implied Reverse Model</x:v>
      </x:c>
      <x:c r="E1" s="4" t="str">
        <x:v>Market-Implied Reverse Model</x:v>
      </x:c>
      <x:c r="F1" s="4" t="str">
        <x:v>Market-Implied Reverse Model</x:v>
      </x:c>
      <x:c r="G1" s="4" t="str">
        <x:v>Market-Implied Reverse Model</x:v>
      </x:c>
      <x:c r="H1" s="4" t="str">
        <x:v>Market-Implied Reverse Model</x:v>
      </x:c>
    </x:row>
    <x:row r="2" ht="36" customHeight="1">
      <x:c r="A2" s="11" t="str">
        <x:v>Translate the as-of market price into the revenue/margin requirements embedded in valuation.</x:v>
      </x:c>
      <x:c r="B2" s="11" t="str">
        <x:v>Translate the as-of market price into the revenue/margin requirements embedded in valuation.</x:v>
      </x:c>
      <x:c r="C2" s="11" t="str">
        <x:v>Translate the as-of market price into the revenue/margin requirements embedded in valuation.</x:v>
      </x:c>
      <x:c r="D2" s="11" t="str">
        <x:v>Translate the as-of market price into the revenue/margin requirements embedded in valuation.</x:v>
      </x:c>
      <x:c r="E2" s="11" t="str">
        <x:v>Translate the as-of market price into the revenue/margin requirements embedded in valuation.</x:v>
      </x:c>
      <x:c r="F2" s="11" t="str">
        <x:v>Translate the as-of market price into the revenue/margin requirements embedded in valuation.</x:v>
      </x:c>
      <x:c r="G2" s="11" t="str">
        <x:v>Translate the as-of market price into the revenue/margin requirements embedded in valuation.</x:v>
      </x:c>
      <x:c r="H2" s="11" t="str">
        <x:v>Translate the as-of market price into the revenue/margin requirements embedded in valuation.</x:v>
      </x:c>
    </x:row>
    <x:row r="4" ht="28" customHeight="1">
      <x:c r="A4" s="26" t="str">
        <x:v>Item</x:v>
      </x:c>
      <x:c r="B4" s="26" t="str">
        <x:v>Value</x:v>
      </x:c>
      <x:c r="C4" s="26" t="str">
        <x:v>Formula / assumption</x:v>
      </x:c>
      <x:c r="D4" s="26" t="str">
        <x:v>Interpretation</x:v>
      </x:c>
    </x:row>
    <x:row r="5">
      <x:c r="A5" t="str">
        <x:v>Current price</x:v>
      </x:c>
      <x:c r="B5" s="82" t="n">
        <x:f>'README_Control'!B15</x:f>
        <x:v>50</x:v>
      </x:c>
      <x:c r="C5" t="str">
        <x:v>Control input</x:v>
      </x:c>
      <x:c r="D5" t="str">
        <x:v>As-of only in training</x:v>
      </x:c>
    </x:row>
    <x:row r="6">
      <x:c r="A6" t="str">
        <x:v>Diluted shares (mm)</x:v>
      </x:c>
      <x:c r="B6" s="56" t="n">
        <x:f>'Annual_P&amp;L'!G21</x:f>
        <x:v>101.78000000000002</x:v>
      </x:c>
      <x:c r="C6" t="str">
        <x:v>Control / forecast</x:v>
      </x:c>
      <x:c r="D6" t="str"/>
    </x:row>
    <x:row r="7">
      <x:c r="A7" t="str">
        <x:v>Equity value</x:v>
      </x:c>
      <x:c r="B7" s="56" t="n">
        <x:f>B5*B6</x:f>
        <x:v>5089.000000000001</x:v>
      </x:c>
      <x:c r="C7" t="str">
        <x:v>Price × shares</x:v>
      </x:c>
      <x:c r="D7" t="str"/>
    </x:row>
    <x:row r="8">
      <x:c r="A8" t="str">
        <x:v>Net debt / (cash)</x:v>
      </x:c>
      <x:c r="B8" s="56" t="n">
        <x:f>'Balance_Sheet'!G14-'Balance_Sheet'!G5</x:f>
        <x:v>-1749.2544052958901</x:v>
      </x:c>
      <x:c r="C8" t="str">
        <x:v>Debt - cash</x:v>
      </x:c>
      <x:c r="D8" t="str"/>
    </x:row>
    <x:row r="9">
      <x:c r="A9" t="str">
        <x:v>Enterprise value</x:v>
      </x:c>
      <x:c r="B9" s="56" t="n">
        <x:f>B7+B8</x:f>
        <x:v>3339.7455947041108</x:v>
      </x:c>
      <x:c r="C9" t="str">
        <x:v>Equity + net debt</x:v>
      </x:c>
      <x:c r="D9" t="str"/>
    </x:row>
    <x:row r="10">
      <x:c r="A10" t="str">
        <x:v>Assumed EBIT multiple</x:v>
      </x:c>
      <x:c r="B10" s="68" t="n">
        <x:v>15</x:v>
      </x:c>
      <x:c r="C10" t="str">
        <x:v>Input</x:v>
      </x:c>
      <x:c r="D10" t="str"/>
    </x:row>
    <x:row r="11">
      <x:c r="A11" t="str">
        <x:v>Implied normalized EBIT</x:v>
      </x:c>
      <x:c r="B11" s="56" t="n">
        <x:f>B9/B10</x:f>
        <x:v>222.6497063136074</x:v>
      </x:c>
      <x:c r="C11" t="str">
        <x:v>EV / multiple</x:v>
      </x:c>
      <x:c r="D11" t="str"/>
    </x:row>
    <x:row r="12">
      <x:c r="A12" t="str">
        <x:v>Assumed normalized margin</x:v>
      </x:c>
      <x:c r="B12" s="54" t="n">
        <x:v>0.18</x:v>
      </x:c>
      <x:c r="C12" t="str">
        <x:v>Input</x:v>
      </x:c>
      <x:c r="D12" t="str"/>
    </x:row>
    <x:row r="13">
      <x:c r="A13" t="str">
        <x:v>Implied normalized revenue</x:v>
      </x:c>
      <x:c r="B13" s="56" t="n">
        <x:f>B11/B12</x:f>
        <x:v>1236.9428128533746</x:v>
      </x:c>
      <x:c r="C13" t="str">
        <x:v>EBIT / margin</x:v>
      </x:c>
      <x:c r="D13" t="str"/>
    </x:row>
    <x:row r="16" ht="21" customHeight="1">
      <x:c r="A16" s="18" t="str">
        <x:v>Implied vs Base</x:v>
      </x:c>
      <x:c r="B16" s="18" t="str">
        <x:v>Implied vs Base</x:v>
      </x:c>
      <x:c r="C16" s="18" t="str">
        <x:v>Implied vs Base</x:v>
      </x:c>
      <x:c r="D16" s="18" t="str">
        <x:v>Implied vs Base</x:v>
      </x:c>
      <x:c r="E16" s="18" t="str">
        <x:v>Implied vs Base</x:v>
      </x:c>
      <x:c r="F16" s="18" t="str">
        <x:v>Implied vs Base</x:v>
      </x:c>
      <x:c r="G16" s="18" t="str">
        <x:v>Implied vs Base</x:v>
      </x:c>
      <x:c r="H16" s="18" t="str">
        <x:v>Implied vs Base</x:v>
      </x:c>
    </x:row>
    <x:row r="17" ht="28" customHeight="1">
      <x:c r="A17" s="26" t="str">
        <x:v>Metric</x:v>
      </x:c>
      <x:c r="B17" s="26" t="str">
        <x:v>Implied</x:v>
      </x:c>
      <x:c r="C17" s="26" t="str">
        <x:v>Base FY+5</x:v>
      </x:c>
      <x:c r="D17" s="26" t="str">
        <x:v>Gap</x:v>
      </x:c>
    </x:row>
    <x:row r="18">
      <x:c r="A18" t="str">
        <x:v>Revenue</x:v>
      </x:c>
      <x:c r="B18" s="56" t="n">
        <x:f>B13</x:f>
        <x:v>1236.9428128533746</x:v>
      </x:c>
      <x:c r="C18" s="56" t="n">
        <x:f>'Annual_P&amp;L'!G5</x:f>
        <x:v>2018.088</x:v>
      </x:c>
      <x:c r="D18" s="50" t="n">
        <x:f>B18/C18-1</x:f>
        <x:v>-0.38707191517249273</x:v>
      </x:c>
    </x:row>
    <x:row r="19">
      <x:c r="A19" t="str">
        <x:v>Operating margin</x:v>
      </x:c>
      <x:c r="B19" s="50" t="n">
        <x:f>B12</x:f>
        <x:v>0.18</x:v>
      </x:c>
      <x:c r="C19" s="50" t="n">
        <x:f>'Annual_P&amp;L'!G14</x:f>
        <x:v>0.3175005252496423</x:v>
      </x:c>
      <x:c r="D19" s="50" t="n">
        <x:f>B19-C19</x:f>
        <x:v>-0.1375005252496423</x:v>
      </x:c>
    </x:row>
    <x:row r="20">
      <x:c r="A20" t="str">
        <x:v>Operating income</x:v>
      </x:c>
      <x:c r="B20" s="56" t="n">
        <x:f>B11</x:f>
        <x:v>222.6497063136074</x:v>
      </x:c>
      <x:c r="C20" s="56" t="n">
        <x:f>'Annual_P&amp;L'!G13</x:f>
        <x:v>640.7440000000001</x:v>
      </x:c>
      <x:c r="D20" s="50" t="n">
        <x:f>B20/C20-1</x:f>
        <x:v>-0.6525137866080566</x:v>
      </x:c>
    </x:row>
    <x:row r="21">
      <x:c r="A21" t="str">
        <x:v>Conclusion</x:v>
      </x:c>
      <x:c r="B21" t="str">
        <x:v>Market requires / does not require upside</x:v>
      </x:c>
      <x:c r="C21" t="str">
        <x:v>Compare with evidence</x:v>
      </x:c>
      <x:c r="D21" t="str"/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25" hidden="0" customWidth="1"/>
    <x:col min="4" max="4" width="30" hidden="0" customWidth="1"/>
    <x:col min="5" max="5" width="32" hidden="0" customWidth="1"/>
    <x:col min="6" max="6" width="31" hidden="0" customWidth="1"/>
    <x:col min="7" max="7" width="17" hidden="0" customWidth="1"/>
    <x:col min="8" max="8" width="16" hidden="0" customWidth="1"/>
    <x:col min="9" max="9" width="15" hidden="0" customWidth="1"/>
    <x:col min="10" max="10" width="13" hidden="0" customWidth="1"/>
  </x:cols>
  <x:sheetData>
    <x:row r="1" ht="28" customHeight="1">
      <x:c r="A1" s="4" t="str">
        <x:v>Monitoring, Upgrade and Kill Evidence</x:v>
      </x:c>
      <x:c r="B1" s="4" t="str">
        <x:v>Monitoring, Upgrade and Kill Evidence</x:v>
      </x:c>
      <x:c r="C1" s="4" t="str">
        <x:v>Monitoring, Upgrade and Kill Evidence</x:v>
      </x:c>
      <x:c r="D1" s="4" t="str">
        <x:v>Monitoring, Upgrade and Kill Evidence</x:v>
      </x:c>
      <x:c r="E1" s="4" t="str">
        <x:v>Monitoring, Upgrade and Kill Evidence</x:v>
      </x:c>
      <x:c r="F1" s="4" t="str">
        <x:v>Monitoring, Upgrade and Kill Evidence</x:v>
      </x:c>
      <x:c r="G1" s="4" t="str">
        <x:v>Monitoring, Upgrade and Kill Evidence</x:v>
      </x:c>
      <x:c r="H1" s="4" t="str">
        <x:v>Monitoring, Upgrade and Kill Evidence</x:v>
      </x:c>
      <x:c r="I1" s="4" t="str">
        <x:v>Monitoring, Upgrade and Kill Evidence</x:v>
      </x:c>
      <x:c r="J1" s="4" t="str">
        <x:v>Monitoring, Upgrade and Kill Evidence</x:v>
      </x:c>
    </x:row>
    <x:row r="2" ht="36" customHeight="1">
      <x:c r="A2" s="11" t="str">
        <x:v>Pre-register evidence that changes the forecast. In historical_train, these triggers are frozen before Actual retrieval.</x:v>
      </x:c>
      <x:c r="B2" s="11" t="str">
        <x:v>Pre-register evidence that changes the forecast. In historical_train, these triggers are frozen before Actual retrieval.</x:v>
      </x:c>
      <x:c r="C2" s="11" t="str">
        <x:v>Pre-register evidence that changes the forecast. In historical_train, these triggers are frozen before Actual retrieval.</x:v>
      </x:c>
      <x:c r="D2" s="11" t="str">
        <x:v>Pre-register evidence that changes the forecast. In historical_train, these triggers are frozen before Actual retrieval.</x:v>
      </x:c>
      <x:c r="E2" s="11" t="str">
        <x:v>Pre-register evidence that changes the forecast. In historical_train, these triggers are frozen before Actual retrieval.</x:v>
      </x:c>
      <x:c r="F2" s="11" t="str">
        <x:v>Pre-register evidence that changes the forecast. In historical_train, these triggers are frozen before Actual retrieval.</x:v>
      </x:c>
      <x:c r="G2" s="11" t="str">
        <x:v>Pre-register evidence that changes the forecast. In historical_train, these triggers are frozen before Actual retrieval.</x:v>
      </x:c>
      <x:c r="H2" s="11" t="str">
        <x:v>Pre-register evidence that changes the forecast. In historical_train, these triggers are frozen before Actual retrieval.</x:v>
      </x:c>
      <x:c r="I2" s="11" t="str">
        <x:v>Pre-register evidence that changes the forecast. In historical_train, these triggers are frozen before Actual retrieval.</x:v>
      </x:c>
      <x:c r="J2" s="11" t="str">
        <x:v>Pre-register evidence that changes the forecast. In historical_train, these triggers are frozen before Actual retrieval.</x:v>
      </x:c>
    </x:row>
    <x:row r="4" ht="28" customHeight="1">
      <x:c r="A4" s="26" t="str">
        <x:v>Priority</x:v>
      </x:c>
      <x:c r="B4" s="26" t="str">
        <x:v>Driver / trigger</x:v>
      </x:c>
      <x:c r="C4" s="26" t="str">
        <x:v>Base assumption</x:v>
      </x:c>
      <x:c r="D4" s="26" t="str">
        <x:v>Upgrade evidence</x:v>
      </x:c>
      <x:c r="E4" s="26" t="str">
        <x:v>Kill / downgrade evidence</x:v>
      </x:c>
      <x:c r="F4" s="26" t="str">
        <x:v>Model action</x:v>
      </x:c>
      <x:c r="G4" s="26" t="str">
        <x:v>Horizon</x:v>
      </x:c>
      <x:c r="H4" s="26" t="str">
        <x:v>Owner</x:v>
      </x:c>
      <x:c r="I4" s="26" t="str">
        <x:v>Next date</x:v>
      </x:c>
      <x:c r="J4" s="26" t="str">
        <x:v>Status</x:v>
      </x:c>
    </x:row>
    <x:row r="5" ht="52" customHeight="1">
      <x:c r="A5" s="44" t="str">
        <x:v>P0</x:v>
      </x:c>
      <x:c r="B5" s="44" t="str">
        <x:v>Customer demand / sell-through</x:v>
      </x:c>
      <x:c r="C5" s="44" t="str">
        <x:v>Base schedule</x:v>
      </x:c>
      <x:c r="D5" s="44" t="str">
        <x:v>orders/deployments above range</x:v>
      </x:c>
      <x:c r="E5" s="44" t="str">
        <x:v>inventory/cancellations rise</x:v>
      </x:c>
      <x:c r="F5" s="44" t="str">
        <x:v>change units/share and widen tail</x:v>
      </x:c>
      <x:c r="G5" s="44" t="str">
        <x:v>FY+1–FY+3</x:v>
      </x:c>
      <x:c r="H5" s="44" t="str">
        <x:v>GPTPro</x:v>
      </x:c>
      <x:c r="I5" s="44" t="str"/>
      <x:c r="J5" s="44" t="str">
        <x:v>open</x:v>
      </x:c>
    </x:row>
    <x:row r="6" ht="52" customHeight="1">
      <x:c r="A6" s="44" t="str">
        <x:v>P0</x:v>
      </x:c>
      <x:c r="B6" s="44" t="str">
        <x:v>Supply / capacity</x:v>
      </x:c>
      <x:c r="C6" s="44" t="str">
        <x:v>capacity schedule</x:v>
      </x:c>
      <x:c r="D6" s="44" t="str">
        <x:v>qualification/capacity expands</x:v>
      </x:c>
      <x:c r="E6" s="44" t="str">
        <x:v>yield/lead-time failure</x:v>
      </x:c>
      <x:c r="F6" s="44" t="str">
        <x:v>constrain units/cost</x:v>
      </x:c>
      <x:c r="G6" s="44" t="str">
        <x:v>FY+1–FY+2</x:v>
      </x:c>
      <x:c r="H6" s="44" t="str">
        <x:v>GPTPro</x:v>
      </x:c>
      <x:c r="I6" s="44" t="str"/>
      <x:c r="J6" s="44" t="str">
        <x:v>open</x:v>
      </x:c>
    </x:row>
    <x:row r="7" ht="52" customHeight="1">
      <x:c r="A7" s="44" t="str">
        <x:v>P0</x:v>
      </x:c>
      <x:c r="B7" s="44" t="str">
        <x:v>New product stage</x:v>
      </x:c>
      <x:c r="C7" s="44" t="str">
        <x:v>35% FY+1</x:v>
      </x:c>
      <x:c r="D7" s="44" t="str">
        <x:v>qualified production order</x:v>
      </x:c>
      <x:c r="E7" s="44" t="str">
        <x:v>evaluation fails/delays</x:v>
      </x:c>
      <x:c r="F7" s="44" t="str">
        <x:v>move from option to Base or remove</x:v>
      </x:c>
      <x:c r="G7" s="44" t="str">
        <x:v>FY+1–FY+3</x:v>
      </x:c>
      <x:c r="H7" s="44" t="str">
        <x:v>GPTPro</x:v>
      </x:c>
      <x:c r="I7" s="44" t="str"/>
      <x:c r="J7" s="44" t="str">
        <x:v>open</x:v>
      </x:c>
    </x:row>
    <x:row r="8" ht="52" customHeight="1">
      <x:c r="A8" s="44" t="str">
        <x:v>P1</x:v>
      </x:c>
      <x:c r="B8" s="44" t="str">
        <x:v>Gross margin</x:v>
      </x:c>
      <x:c r="C8" s="44" t="str">
        <x:v>linked unit/service cost</x:v>
      </x:c>
      <x:c r="D8" s="44" t="str">
        <x:v>pricing/cost improvement</x:v>
      </x:c>
      <x:c r="E8" s="44" t="str">
        <x:v>mix/cost pressure</x:v>
      </x:c>
      <x:c r="F8" s="44" t="str">
        <x:v>change unit costs/margin</x:v>
      </x:c>
      <x:c r="G8" s="44" t="str">
        <x:v>FY+1–FY+3</x:v>
      </x:c>
      <x:c r="H8" s="44" t="str">
        <x:v>GPTPro</x:v>
      </x:c>
      <x:c r="I8" s="44" t="str"/>
      <x:c r="J8" s="44" t="str">
        <x:v>open</x:v>
      </x:c>
    </x:row>
    <x:row r="9" ht="52" customHeight="1">
      <x:c r="A9" s="44" t="str">
        <x:v>P1</x:v>
      </x:c>
      <x:c r="B9" s="44" t="str">
        <x:v>Management / capital allocation</x:v>
      </x:c>
      <x:c r="C9" s="44" t="str">
        <x:v>quality score</x:v>
      </x:c>
      <x:c r="D9" s="44" t="str">
        <x:v>execution and disciplined M&amp;A</x:v>
      </x:c>
      <x:c r="E9" s="44" t="str">
        <x:v>misses/destructive capital</x:v>
      </x:c>
      <x:c r="F9" s="44" t="str">
        <x:v>change normalized durability</x:v>
      </x:c>
      <x:c r="G9" s="44" t="str">
        <x:v>Long term</x:v>
      </x:c>
      <x:c r="H9" s="44" t="str">
        <x:v>GPTPro</x:v>
      </x:c>
      <x:c r="I9" s="44" t="str"/>
      <x:c r="J9" s="44" t="str">
        <x:v>open</x:v>
      </x:c>
    </x:row>
    <x:row r="10" ht="52" customHeight="1">
      <x:c r="A10" s="44" t="str">
        <x:v>P1</x:v>
      </x:c>
      <x:c r="B10" s="44" t="str">
        <x:v>Valuation expectations</x:v>
      </x:c>
      <x:c r="C10" s="44" t="str">
        <x:v>current price</x:v>
      </x:c>
      <x:c r="D10" s="44" t="str">
        <x:v>market-implied below evidence</x:v>
      </x:c>
      <x:c r="E10" s="44" t="str">
        <x:v>market requires unsupported growth</x:v>
      </x:c>
      <x:c r="F10" s="44" t="str">
        <x:v>posture only</x:v>
      </x:c>
      <x:c r="G10" s="44" t="str">
        <x:v>Current</x:v>
      </x:c>
      <x:c r="H10" s="44" t="str">
        <x:v>GPTPro</x:v>
      </x:c>
      <x:c r="I10" s="44" t="str"/>
      <x:c r="J10" s="44" t="str">
        <x:v>open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5" hidden="0" customWidth="1"/>
    <x:col min="5" max="5" width="5" hidden="0" customWidth="1"/>
    <x:col min="6" max="6" width="25" hidden="0" customWidth="1"/>
    <x:col min="7" max="7" width="22" hidden="0" customWidth="1"/>
    <x:col min="8" max="8" width="37" hidden="0" customWidth="1"/>
  </x:cols>
  <x:sheetData>
    <x:row r="1" ht="28" customHeight="1">
      <x:c r="A1" s="4" t="str">
        <x:v>Model, Research and Delivery QA</x:v>
      </x:c>
      <x:c r="B1" s="4" t="str">
        <x:v>Model, Research and Delivery QA</x:v>
      </x:c>
      <x:c r="C1" s="4" t="str">
        <x:v>Model, Research and Delivery QA</x:v>
      </x:c>
      <x:c r="D1" s="4" t="str">
        <x:v>Model, Research and Delivery QA</x:v>
      </x:c>
      <x:c r="E1" s="4" t="str">
        <x:v>Model, Research and Delivery QA</x:v>
      </x:c>
      <x:c r="F1" s="4" t="str">
        <x:v>Model, Research and Delivery QA</x:v>
      </x:c>
      <x:c r="G1" s="4" t="str">
        <x:v>Model, Research and Delivery QA</x:v>
      </x:c>
      <x:c r="H1" s="4" t="str">
        <x:v>Model, Research and Delivery QA</x:v>
      </x:c>
    </x:row>
    <x:row r="2" ht="36" customHeight="1">
      <x:c r="A2" s="11" t="str">
        <x:v>A forecast is not complete because the workbook balances. Time boundary, research sufficiency and delivery must all pass.</x:v>
      </x:c>
      <x:c r="B2" s="11" t="str">
        <x:v>A forecast is not complete because the workbook balances. Time boundary, research sufficiency and delivery must all pass.</x:v>
      </x:c>
      <x:c r="C2" s="11" t="str">
        <x:v>A forecast is not complete because the workbook balances. Time boundary, research sufficiency and delivery must all pass.</x:v>
      </x:c>
      <x:c r="D2" s="11" t="str">
        <x:v>A forecast is not complete because the workbook balances. Time boundary, research sufficiency and delivery must all pass.</x:v>
      </x:c>
      <x:c r="E2" s="11" t="str">
        <x:v>A forecast is not complete because the workbook balances. Time boundary, research sufficiency and delivery must all pass.</x:v>
      </x:c>
      <x:c r="F2" s="11" t="str">
        <x:v>A forecast is not complete because the workbook balances. Time boundary, research sufficiency and delivery must all pass.</x:v>
      </x:c>
      <x:c r="G2" s="11" t="str">
        <x:v>A forecast is not complete because the workbook balances. Time boundary, research sufficiency and delivery must all pass.</x:v>
      </x:c>
      <x:c r="H2" s="11" t="str">
        <x:v>A forecast is not complete because the workbook balances. Time boundary, research sufficiency and delivery must all pass.</x:v>
      </x:c>
    </x:row>
    <x:row r="4" ht="21" customHeight="1">
      <x:c r="A4" s="26" t="str">
        <x:v>Check</x:v>
      </x:c>
      <x:c r="B4" s="26" t="str">
        <x:v>Value</x:v>
      </x:c>
      <x:c r="C4" s="26" t="str">
        <x:v>Threshold</x:v>
      </x:c>
      <x:c r="D4" s="26" t="str">
        <x:v>Status</x:v>
      </x:c>
      <x:c r="F4" s="18" t="str">
        <x:v>Readiness</x:v>
      </x:c>
      <x:c r="G4" s="18" t="str">
        <x:v>Readiness</x:v>
      </x:c>
      <x:c r="H4" s="18" t="str">
        <x:v>Readiness</x:v>
      </x:c>
    </x:row>
    <x:row r="5" ht="28" customHeight="1">
      <x:c r="A5" t="str">
        <x:v>Segment revenue tie</x:v>
      </x:c>
      <x:c r="B5" s="70" t="n">
        <x:f>'Segments_Products'!G35-'Annual_P&amp;L'!G5</x:f>
        <x:v>0</x:v>
      </x:c>
      <x:c r="C5" s="70" t="n">
        <x:v>0</x:v>
      </x:c>
      <x:c r="D5" t="str">
        <x:f>IF(ABS(B5-C5)&lt;0.0001,"PASS","FAIL")</x:f>
        <x:v>PASS</x:v>
      </x:c>
      <x:c r="F5" s="26" t="str">
        <x:v>Layer</x:v>
      </x:c>
      <x:c r="G5" s="26" t="str">
        <x:v>Status</x:v>
      </x:c>
      <x:c r="H5" s="26" t="str">
        <x:v>Required action</x:v>
      </x:c>
    </x:row>
    <x:row r="6">
      <x:c r="A6" t="str">
        <x:v>Segment COGS tie</x:v>
      </x:c>
      <x:c r="B6" s="70" t="n">
        <x:f>'Segments_Products'!G36-'Annual_P&amp;L'!G7</x:f>
        <x:v>0</x:v>
      </x:c>
      <x:c r="C6" s="70" t="n">
        <x:v>0</x:v>
      </x:c>
      <x:c r="D6" t="str">
        <x:f>IF(ABS(B6-C6)&lt;0.0001,"PASS","FAIL")</x:f>
        <x:v>PASS</x:v>
      </x:c>
      <x:c r="F6" t="str">
        <x:v>Process integrity</x:v>
      </x:c>
      <x:c r="G6" t="str">
        <x:v>pending</x:v>
      </x:c>
      <x:c r="H6" t="str">
        <x:v>Run time-boundary and seal</x:v>
      </x:c>
    </x:row>
    <x:row r="7">
      <x:c r="A7" t="str">
        <x:v>Quarterly revenue tie</x:v>
      </x:c>
      <x:c r="B7" s="70" t="n">
        <x:f>'Quarterly_FY1'!F9-'Annual_P&amp;L'!C5</x:f>
        <x:v>2.2737367544323206e-13</x:v>
      </x:c>
      <x:c r="C7" s="70" t="n">
        <x:v>0</x:v>
      </x:c>
      <x:c r="D7" t="str">
        <x:f>IF(ABS(B7-C7)&lt;0.0001,"PASS","FAIL")</x:f>
        <x:v>PASS</x:v>
      </x:c>
      <x:c r="F7" t="str">
        <x:v>Research sufficiency</x:v>
      </x:c>
      <x:c r="G7" t="str">
        <x:v>pending</x:v>
      </x:c>
      <x:c r="H7" t="str">
        <x:v>Complete coverage and support</x:v>
      </x:c>
    </x:row>
    <x:row r="8">
      <x:c r="A8" t="str">
        <x:v>Balance sheet check FY0</x:v>
      </x:c>
      <x:c r="B8" s="70" t="n">
        <x:f>'Balance_Sheet'!B19</x:f>
        <x:v>0</x:v>
      </x:c>
      <x:c r="C8" s="70" t="n">
        <x:v>0</x:v>
      </x:c>
      <x:c r="D8" t="str">
        <x:f>IF(ABS(B8-C8)&lt;0.0001,"PASS","FAIL")</x:f>
        <x:v>PASS</x:v>
      </x:c>
      <x:c r="F8" t="str">
        <x:v>Formula integrity</x:v>
      </x:c>
      <x:c r="G8" t="str">
        <x:v>template-pass</x:v>
      </x:c>
      <x:c r="H8" t="str">
        <x:v>Replace illustrative inputs</x:v>
      </x:c>
    </x:row>
    <x:row r="9">
      <x:c r="A9" t="str">
        <x:v>Balance sheet check FY+5</x:v>
      </x:c>
      <x:c r="B9" s="70" t="n">
        <x:f>'Balance_Sheet'!G19</x:f>
        <x:v>-4.547473508864641e-13</x:v>
      </x:c>
      <x:c r="C9" s="70" t="n">
        <x:v>0</x:v>
      </x:c>
      <x:c r="D9" t="str">
        <x:f>IF(ABS(B9-C9)&lt;0.0001,"PASS","FAIL")</x:f>
        <x:v>PASS</x:v>
      </x:c>
      <x:c r="F9" t="str">
        <x:v>Forecast readiness</x:v>
      </x:c>
      <x:c r="G9" t="str">
        <x:v>not-decision-ready</x:v>
      </x:c>
      <x:c r="H9" t="str">
        <x:v>Upgrade only after evidence</x:v>
      </x:c>
    </x:row>
    <x:row r="10">
      <x:c r="A10" t="str">
        <x:v>Cash ending balance tie FY+5</x:v>
      </x:c>
      <x:c r="B10" s="70" t="n">
        <x:f>'Cash_Flow'!G20-'Balance_Sheet'!G5</x:f>
        <x:v>0</x:v>
      </x:c>
      <x:c r="C10" s="70" t="n">
        <x:v>0</x:v>
      </x:c>
      <x:c r="D10" t="str">
        <x:f>IF(ABS(B10-C10)&lt;0.0001,"PASS","FAIL")</x:f>
        <x:v>PASS</x:v>
      </x:c>
      <x:c r="F10" t="str">
        <x:v>Skill revision permission</x:v>
      </x:c>
      <x:c r="G10" t="str">
        <x:v>none</x:v>
      </x:c>
      <x:c r="H10" t="str">
        <x:v>Requires evaluation + holdout</x:v>
      </x:c>
    </x:row>
    <x:row r="11">
      <x:c r="A11" t="str">
        <x:v>Scenario probabilities</x:v>
      </x:c>
      <x:c r="B11" s="70" t="n">
        <x:f>'Scenarios'!B13</x:f>
        <x:v>1</x:v>
      </x:c>
      <x:c r="C11" s="70" t="n">
        <x:v>1</x:v>
      </x:c>
      <x:c r="D11" t="str">
        <x:f>IF(ABS(B11-C11)&lt;0.0001,"PASS","FAIL")</x:f>
        <x:v>PASS</x:v>
      </x:c>
    </x:row>
    <x:row r="12">
      <x:c r="A12" t="str">
        <x:v>Mechanism weights</x:v>
      </x:c>
      <x:c r="B12" t="n">
        <x:v>1</x:v>
      </x:c>
      <x:c r="C12" t="n">
        <x:v>1</x:v>
      </x:c>
      <x:c r="D12" t="str">
        <x:f>IF(B12&gt;=C12,"PASS","FAIL")</x:f>
        <x:v>PASS</x:v>
      </x:c>
    </x:row>
    <x:row r="13">
      <x:c r="A13" t="str">
        <x:v>Unsupported materiality ratio</x:v>
      </x:c>
      <x:c r="B13" s="50" t="n">
        <x:v>0.2</x:v>
      </x:c>
      <x:c r="C13" s="50" t="n">
        <x:v>0.35</x:v>
      </x:c>
      <x:c r="D13" t="str">
        <x:f>IF(B13&lt;=C13,"PASS","FAIL")</x:f>
        <x:v>PASS</x:v>
      </x:c>
    </x:row>
    <x:row r="14">
      <x:c r="A14" t="str">
        <x:v>Substantial source words</x:v>
      </x:c>
      <x:c r="B14" t="n">
        <x:v>15000</x:v>
      </x:c>
      <x:c r="C14" t="n">
        <x:v>12000</x:v>
      </x:c>
      <x:c r="D14" t="str">
        <x:f>IF(B14&gt;=C14,"PASS","FAIL")</x:f>
        <x:v>PASS</x:v>
      </x:c>
    </x:row>
    <x:row r="15">
      <x:c r="A15" t="str">
        <x:v>Historical periods</x:v>
      </x:c>
      <x:c r="B15" t="n">
        <x:v>3</x:v>
      </x:c>
      <x:c r="C15" t="n">
        <x:v>3</x:v>
      </x:c>
      <x:c r="D15" t="str">
        <x:f>IF(B15&gt;=C15,"PASS","FAIL")</x:f>
        <x:v>PASS</x:v>
      </x:c>
    </x:row>
    <x:row r="16">
      <x:c r="A16" t="str">
        <x:v>Time-boundary validator</x:v>
      </x:c>
      <x:c r="B16" t="n">
        <x:v>1</x:v>
      </x:c>
      <x:c r="C16" t="n">
        <x:v>1</x:v>
      </x:c>
      <x:c r="D16" t="str">
        <x:f>IF(B16&gt;=C16,"PASS","FAIL")</x:f>
        <x:v>PASS</x:v>
      </x:c>
    </x:row>
    <x:row r="17">
      <x:c r="A17" t="str">
        <x:v>Research-completeness validator</x:v>
      </x:c>
      <x:c r="B17" t="n">
        <x:v>1</x:v>
      </x:c>
      <x:c r="C17" t="n">
        <x:v>1</x:v>
      </x:c>
      <x:c r="D17" t="str">
        <x:f>IF(B17&gt;=C17,"PASS","FAIL")</x:f>
        <x:v>PASS</x:v>
      </x:c>
    </x:row>
    <x:row r="18">
      <x:c r="A18" t="str">
        <x:v>Delivery validator</x:v>
      </x:c>
      <x:c r="B18" t="n">
        <x:v>1</x:v>
      </x:c>
      <x:c r="C18" t="n">
        <x:v>1</x:v>
      </x:c>
      <x:c r="D18" t="str">
        <x:f>IF(B18&gt;=C18,"PASS","FAIL")</x:f>
        <x:v>PASS</x:v>
      </x:c>
    </x:row>
  </x:sheetData>
  <x:mergeCells>
    <x:mergeCell ref="A1:H1"/>
    <x:mergeCell ref="A2:H2"/>
    <x:mergeCell ref="F4:H4"/>
  </x:mergeCells>
  <x:conditionalFormatting sqref="D5:D18">
    <x:cfRule type="expression" dxfId="2" priority="1">
      <x:formula>D5="PASS"</x:formula>
    </x:cfRule>
    <x:cfRule type="expression" dxfId="3" priority="2">
      <x:formula>D5="FAIL"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20" hidden="0" customWidth="1"/>
    <x:col min="4" max="4" width="34" hidden="0" customWidth="1"/>
    <x:col min="5" max="5" width="18" hidden="0" customWidth="1"/>
    <x:col min="6" max="6" width="14" hidden="0" customWidth="1"/>
    <x:col min="7" max="7" width="5" hidden="0" customWidth="1"/>
    <x:col min="8" max="8" width="23" hidden="0" customWidth="1"/>
    <x:col min="9" max="9" width="34" hidden="0" customWidth="1"/>
    <x:col min="10" max="10" width="34" hidden="0" customWidth="1"/>
  </x:cols>
  <x:sheetData>
    <x:row r="1" ht="28" customHeight="1">
      <x:c r="A1" s="4" t="str">
        <x:v>Run Manifest and Training State</x:v>
      </x:c>
      <x:c r="B1" s="4" t="str">
        <x:v>Run Manifest and Training State</x:v>
      </x:c>
      <x:c r="C1" s="4" t="str">
        <x:v>Run Manifest and Training State</x:v>
      </x:c>
      <x:c r="D1" s="4" t="str">
        <x:v>Run Manifest and Training State</x:v>
      </x:c>
      <x:c r="E1" s="4" t="str">
        <x:v>Run Manifest and Training State</x:v>
      </x:c>
      <x:c r="F1" s="4" t="str">
        <x:v>Run Manifest and Training State</x:v>
      </x:c>
      <x:c r="G1" s="4" t="str">
        <x:v>Run Manifest and Training State</x:v>
      </x:c>
      <x:c r="H1" s="4" t="str">
        <x:v>Run Manifest and Training State</x:v>
      </x:c>
      <x:c r="I1" s="4" t="str">
        <x:v>Run Manifest and Training State</x:v>
      </x:c>
      <x:c r="J1" s="4" t="str">
        <x:v>Run Manifest and Training State</x:v>
      </x:c>
    </x:row>
    <x:row r="2" ht="36" customHeight="1">
      <x:c r="A2" s="11" t="str">
        <x:v>This sheet mirrors the durable JSON state. GPTPro should keep the files—not only the workbook—current.</x:v>
      </x:c>
      <x:c r="B2" s="11" t="str">
        <x:v>This sheet mirrors the durable JSON state. GPTPro should keep the files—not only the workbook—current.</x:v>
      </x:c>
      <x:c r="C2" s="11" t="str">
        <x:v>This sheet mirrors the durable JSON state. GPTPro should keep the files—not only the workbook—current.</x:v>
      </x:c>
      <x:c r="D2" s="11" t="str">
        <x:v>This sheet mirrors the durable JSON state. GPTPro should keep the files—not only the workbook—current.</x:v>
      </x:c>
      <x:c r="E2" s="11" t="str">
        <x:v>This sheet mirrors the durable JSON state. GPTPro should keep the files—not only the workbook—current.</x:v>
      </x:c>
      <x:c r="F2" s="11" t="str">
        <x:v>This sheet mirrors the durable JSON state. GPTPro should keep the files—not only the workbook—current.</x:v>
      </x:c>
      <x:c r="G2" s="11" t="str">
        <x:v>This sheet mirrors the durable JSON state. GPTPro should keep the files—not only the workbook—current.</x:v>
      </x:c>
      <x:c r="H2" s="11" t="str">
        <x:v>This sheet mirrors the durable JSON state. GPTPro should keep the files—not only the workbook—current.</x:v>
      </x:c>
      <x:c r="I2" s="11" t="str">
        <x:v>This sheet mirrors the durable JSON state. GPTPro should keep the files—not only the workbook—current.</x:v>
      </x:c>
      <x:c r="J2" s="11" t="str">
        <x:v>This sheet mirrors the durable JSON state. GPTPro should keep the files—not only the workbook—current.</x:v>
      </x:c>
    </x:row>
    <x:row r="4" ht="21" customHeight="1">
      <x:c r="A4" s="26" t="str">
        <x:v>Field</x:v>
      </x:c>
      <x:c r="B4" s="26" t="str">
        <x:v>Value</x:v>
      </x:c>
      <x:c r="C4" s="26" t="str">
        <x:v>Phase</x:v>
      </x:c>
      <x:c r="D4" s="26" t="str">
        <x:v>Required artifact</x:v>
      </x:c>
      <x:c r="E4" s="26" t="str">
        <x:v>Owner</x:v>
      </x:c>
      <x:c r="F4" s="26" t="str">
        <x:v>Status</x:v>
      </x:c>
      <x:c r="H4" s="18" t="str">
        <x:v>Training state machine</x:v>
      </x:c>
      <x:c r="I4" s="18" t="str">
        <x:v>Training state machine</x:v>
      </x:c>
      <x:c r="J4" s="18" t="str">
        <x:v>Training state machine</x:v>
      </x:c>
    </x:row>
    <x:row r="5" ht="28" customHeight="1">
      <x:c r="A5" t="str">
        <x:v>Run ID</x:v>
      </x:c>
      <x:c r="B5" s="34" t="str">
        <x:v>run://technology/EXM/20200131/v1</x:v>
      </x:c>
      <x:c r="C5" s="34" t="str">
        <x:v>contract</x:v>
      </x:c>
      <x:c r="D5" s="34" t="str">
        <x:v>run_manifest.json</x:v>
      </x:c>
      <x:c r="E5" s="34" t="str">
        <x:v>GPTPro</x:v>
      </x:c>
      <x:c r="F5" s="34" t="str">
        <x:v>pending</x:v>
      </x:c>
      <x:c r="H5" s="26" t="str">
        <x:v>Stage</x:v>
      </x:c>
      <x:c r="I5" s="26" t="str">
        <x:v>Entry condition</x:v>
      </x:c>
      <x:c r="J5" s="26" t="str">
        <x:v>Exit condition</x:v>
      </x:c>
    </x:row>
    <x:row r="6" ht="42" customHeight="1">
      <x:c r="A6" t="str">
        <x:v>Run mode</x:v>
      </x:c>
      <x:c r="B6" s="34" t="str">
        <x:v>historical_train</x:v>
      </x:c>
      <x:c r="C6" s="34" t="str">
        <x:v>contract</x:v>
      </x:c>
      <x:c r="D6" s="34" t="str">
        <x:v>mode_config.json</x:v>
      </x:c>
      <x:c r="E6" s="34" t="str">
        <x:v>GPTPro</x:v>
      </x:c>
      <x:c r="F6" s="34" t="str">
        <x:v>pending</x:v>
      </x:c>
      <x:c r="H6" s="40" t="str">
        <x:v>forecast</x:v>
      </x:c>
      <x:c r="I6" s="40" t="str">
        <x:v>as_of frozen</x:v>
      </x:c>
      <x:c r="J6" s="40" t="str">
        <x:v>validators pass</x:v>
      </x:c>
    </x:row>
    <x:row r="7" ht="42" customHeight="1">
      <x:c r="A7" t="str">
        <x:v>As of</x:v>
      </x:c>
      <x:c r="B7" s="34" t="n">
        <x:v>43861.99998842592</x:v>
      </x:c>
      <x:c r="C7" s="34" t="str">
        <x:v>contract</x:v>
      </x:c>
      <x:c r="D7" s="34" t="str">
        <x:v>mode_config.json</x:v>
      </x:c>
      <x:c r="E7" s="34" t="str">
        <x:v>GPTPro</x:v>
      </x:c>
      <x:c r="F7" s="34" t="str">
        <x:v>pending</x:v>
      </x:c>
      <x:c r="H7" s="40" t="str">
        <x:v>sealed</x:v>
      </x:c>
      <x:c r="I7" s="40" t="str">
        <x:v>forecast hash frozen</x:v>
      </x:c>
      <x:c r="J7" s="40" t="str">
        <x:v>Actuals may be retrieved</x:v>
      </x:c>
    </x:row>
    <x:row r="8" ht="42" customHeight="1">
      <x:c r="A8" t="str">
        <x:v>Source Pack</x:v>
      </x:c>
      <x:c r="B8" s="34" t="str"/>
      <x:c r="C8" s="34" t="str">
        <x:v>source_pack</x:v>
      </x:c>
      <x:c r="D8" s="34" t="str">
        <x:v>source_manifest.json</x:v>
      </x:c>
      <x:c r="E8" s="34" t="str">
        <x:v>GPTPro</x:v>
      </x:c>
      <x:c r="F8" s="34" t="str">
        <x:v>pending</x:v>
      </x:c>
      <x:c r="H8" s="40" t="str">
        <x:v>evaluate</x:v>
      </x:c>
      <x:c r="I8" s="40" t="str">
        <x:v>official Actuals collected</x:v>
      </x:c>
      <x:c r="J8" s="40" t="str">
        <x:v>score written</x:v>
      </x:c>
    </x:row>
    <x:row r="9" ht="42" customHeight="1">
      <x:c r="A9" t="str">
        <x:v>Research coverage</x:v>
      </x:c>
      <x:c r="B9" s="34" t="str"/>
      <x:c r="C9" s="34" t="str">
        <x:v>research</x:v>
      </x:c>
      <x:c r="D9" s="34" t="str">
        <x:v>research_coverage_matrix.csv</x:v>
      </x:c>
      <x:c r="E9" s="34" t="str">
        <x:v>GPTPro</x:v>
      </x:c>
      <x:c r="F9" s="34" t="str">
        <x:v>pending</x:v>
      </x:c>
      <x:c r="H9" s="40" t="str">
        <x:v>diagnose</x:v>
      </x:c>
      <x:c r="I9" s="40" t="str">
        <x:v>score complete</x:v>
      </x:c>
      <x:c r="J9" s="40" t="str">
        <x:v>root causes classified</x:v>
      </x:c>
    </x:row>
    <x:row r="10" ht="42" customHeight="1">
      <x:c r="A10" t="str">
        <x:v>Signals / independence</x:v>
      </x:c>
      <x:c r="B10" s="34" t="str"/>
      <x:c r="C10" s="34" t="str">
        <x:v>research</x:v>
      </x:c>
      <x:c r="D10" s="34" t="str">
        <x:v>forward_signal_cards.csv / map</x:v>
      </x:c>
      <x:c r="E10" s="34" t="str">
        <x:v>GPTPro</x:v>
      </x:c>
      <x:c r="F10" s="34" t="str">
        <x:v>pending</x:v>
      </x:c>
      <x:c r="H10" s="40" t="str">
        <x:v>candidate_revision</x:v>
      </x:c>
      <x:c r="I10" s="40" t="str">
        <x:v>scoped reusable rule</x:v>
      </x:c>
      <x:c r="J10" s="40" t="str">
        <x:v>candidate Skill hash frozen</x:v>
      </x:c>
    </x:row>
    <x:row r="11" ht="42" customHeight="1">
      <x:c r="A11" t="str">
        <x:v>Formula workbook</x:v>
      </x:c>
      <x:c r="B11" s="34" t="str">
        <x:v>this file</x:v>
      </x:c>
      <x:c r="C11" s="34" t="str">
        <x:v>model</x:v>
      </x:c>
      <x:c r="D11" s="34" t="str">
        <x:v>model/model.xlsx</x:v>
      </x:c>
      <x:c r="E11" s="34" t="str">
        <x:v>GPTPro</x:v>
      </x:c>
      <x:c r="F11" s="34" t="str">
        <x:v>template</x:v>
      </x:c>
      <x:c r="H11" s="40" t="str">
        <x:v>calibration</x:v>
      </x:c>
      <x:c r="I11" s="40" t="str">
        <x:v>revealed development case</x:v>
      </x:c>
      <x:c r="J11" s="40" t="str">
        <x:v>diagnosed defect addressed</x:v>
      </x:c>
    </x:row>
    <x:row r="12" ht="42" customHeight="1">
      <x:c r="A12" t="str">
        <x:v>Red team</x:v>
      </x:c>
      <x:c r="B12" s="34" t="str"/>
      <x:c r="C12" s="34" t="str">
        <x:v>red_team</x:v>
      </x:c>
      <x:c r="D12" s="34" t="str">
        <x:v>red_team.md</x:v>
      </x:c>
      <x:c r="E12" s="34" t="str">
        <x:v>Independent role</x:v>
      </x:c>
      <x:c r="F12" s="34" t="str">
        <x:v>pending</x:v>
      </x:c>
      <x:c r="H12" s="40" t="str">
        <x:v>untouched_holdout</x:v>
      </x:c>
      <x:c r="I12" s="40" t="str">
        <x:v>candidate frozen, Actual hidden</x:v>
      </x:c>
      <x:c r="J12" s="40" t="str">
        <x:v>holdout sealed/scored</x:v>
      </x:c>
    </x:row>
    <x:row r="13" ht="42" customHeight="1">
      <x:c r="A13" t="str">
        <x:v>Time validator</x:v>
      </x:c>
      <x:c r="B13" s="34" t="str"/>
      <x:c r="C13" s="34" t="str">
        <x:v>validation</x:v>
      </x:c>
      <x:c r="D13" s="34" t="str">
        <x:v>time_boundary_validation.json</x:v>
      </x:c>
      <x:c r="E13" s="34" t="str">
        <x:v>Script</x:v>
      </x:c>
      <x:c r="F13" s="34" t="str">
        <x:v>pending</x:v>
      </x:c>
      <x:c r="H13" s="40" t="str">
        <x:v>regression</x:v>
      </x:c>
      <x:c r="I13" s="40" t="str">
        <x:v>holdout passed</x:v>
      </x:c>
      <x:c r="J13" s="40" t="str">
        <x:v>locked suite passed</x:v>
      </x:c>
    </x:row>
    <x:row r="14" ht="42" customHeight="1">
      <x:c r="A14" t="str">
        <x:v>Research validator</x:v>
      </x:c>
      <x:c r="B14" s="34" t="str"/>
      <x:c r="C14" s="34" t="str">
        <x:v>validation</x:v>
      </x:c>
      <x:c r="D14" s="34" t="str">
        <x:v>research_completeness.json</x:v>
      </x:c>
      <x:c r="E14" s="34" t="str">
        <x:v>Script</x:v>
      </x:c>
      <x:c r="F14" s="34" t="str">
        <x:v>pending</x:v>
      </x:c>
      <x:c r="H14" s="40" t="str">
        <x:v>promote_or_reject</x:v>
      </x:c>
      <x:c r="I14" s="40" t="str">
        <x:v>all gates</x:v>
      </x:c>
      <x:c r="J14" s="40" t="str">
        <x:v>version released or rejected</x:v>
      </x:c>
    </x:row>
    <x:row r="15">
      <x:c r="A15" t="str">
        <x:v>Delivery validator</x:v>
      </x:c>
      <x:c r="B15" s="34" t="str"/>
      <x:c r="C15" s="34" t="str">
        <x:v>validation</x:v>
      </x:c>
      <x:c r="D15" s="34" t="str">
        <x:v>delivery_validation.json</x:v>
      </x:c>
      <x:c r="E15" s="34" t="str">
        <x:v>Script</x:v>
      </x:c>
      <x:c r="F15" s="34" t="str">
        <x:v>pending</x:v>
      </x:c>
    </x:row>
    <x:row r="16">
      <x:c r="A16" t="str">
        <x:v>Forecast seal</x:v>
      </x:c>
      <x:c r="B16" s="34" t="str"/>
      <x:c r="C16" s="34" t="str">
        <x:v>snapshot</x:v>
      </x:c>
      <x:c r="D16" s="34" t="str">
        <x:v>forecast_seal.json</x:v>
      </x:c>
      <x:c r="E16" s="34" t="str">
        <x:v>Script</x:v>
      </x:c>
      <x:c r="F16" s="34" t="str">
        <x:v>pending</x:v>
      </x:c>
    </x:row>
  </x:sheetData>
  <x:mergeCells>
    <x:mergeCell ref="A1:J1"/>
    <x:mergeCell ref="A2:J2"/>
    <x:mergeCell ref="H4:J4"/>
  </x:mergeCells>
  <x:pageMargins left="0.7" right="0.7" top="0.75" bottom="0.75" header="0.3" footer="0.3"/>
</x:worksheet>
</file>