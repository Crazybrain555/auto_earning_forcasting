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3a573dacf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摘要" sheetId="1" r:id="R96d6787ca2a642bf"/>
    <x:sheet xmlns:r="http://schemas.openxmlformats.org/officeDocument/2006/relationships" name="Source Pack" sheetId="2" r:id="Rbd202408bc0b419b"/>
    <x:sheet xmlns:r="http://schemas.openxmlformats.org/officeDocument/2006/relationships" name="历史与FY26桥" sheetId="3" r:id="R311d06a563c84806"/>
    <x:sheet xmlns:r="http://schemas.openxmlformats.org/officeDocument/2006/relationships" name="FY27季度模型" sheetId="4" r:id="Ra3bf2ffaef37454c"/>
    <x:sheet xmlns:r="http://schemas.openxmlformats.org/officeDocument/2006/relationships" name="FY28-31驱动" sheetId="5" r:id="R6de6531667a64652"/>
    <x:sheet xmlns:r="http://schemas.openxmlformats.org/officeDocument/2006/relationships" name="五年损益" sheetId="6" r:id="R28d4522e6f9848f6"/>
    <x:sheet xmlns:r="http://schemas.openxmlformats.org/officeDocument/2006/relationships" name="现金流与资本" sheetId="7" r:id="Rd6368e12a41145cf"/>
    <x:sheet xmlns:r="http://schemas.openxmlformats.org/officeDocument/2006/relationships" name="客户合同产品JV" sheetId="8" r:id="Re7c79342f6664a11"/>
    <x:sheet xmlns:r="http://schemas.openxmlformats.org/officeDocument/2006/relationships" name="情景模型" sheetId="9" r:id="R95943ad57ae4418f"/>
    <x:sheet xmlns:r="http://schemas.openxmlformats.org/officeDocument/2006/relationships" name="估值与隐含预期" sheetId="10" r:id="R5dfe4b62f5c0489f"/>
    <x:sheet xmlns:r="http://schemas.openxmlformats.org/officeDocument/2006/relationships" name="监测与质量门" sheetId="11" r:id="R9b17bbf61f47404f"/>
    <x:sheet xmlns:r="http://schemas.openxmlformats.org/officeDocument/2006/relationships" name="Codex交付清单" sheetId="12" r:id="Rc7678c26fbd3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[Red](#,##0.0);-"/>
    <x:numFmt numFmtId="201" formatCode="0.0%;[Red](0.0%);-"/>
    <x:numFmt numFmtId="202" formatCode="0.0"/>
    <x:numFmt numFmtId="203" formatCode="$0.00;[Red]($0.00);-"/>
    <x:numFmt numFmtId="204" formatCode="0.000x"/>
    <x:numFmt numFmtId="205" formatCode="$#,##0.00;[Red]($#,##0.00);-"/>
    <x:numFmt numFmtId="206" formatCode="0.0x"/>
    <x:numFmt numFmtId="207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0" fillId="0" borderId="0" xfId="0" applyNumberFormat="1" applyFont="1" applyFill="1" applyBorder="1"/>
    <x:xf numFmtId="200" fontId="4" fillId="5" borderId="1" xfId="0" applyNumberFormat="1" applyFont="1" applyFill="1" applyBorder="1"/>
    <x:xf numFmtId="200" fontId="0" fillId="0" borderId="1" xfId="0" applyNumberFormat="1" applyFont="1" applyFill="1" applyBorder="1"/>
    <x:xf numFmtId="201" fontId="4" fillId="5" borderId="0" xfId="0" applyNumberFormat="1" applyFont="1" applyFill="1" applyBorder="1"/>
    <x:xf numFmtId="201" fontId="0" fillId="0" borderId="0" xfId="0" applyNumberFormat="1" applyFont="1" applyFill="1" applyBorder="1"/>
    <x:xf numFmtId="201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0" fillId="0" borderId="0" xfId="0" applyNumberFormat="1" applyFont="1" applyFill="1" applyBorder="1"/>
    <x:xf numFmtId="202" fontId="4" fillId="5" borderId="1" xfId="0" applyNumberFormat="1" applyFont="1" applyFill="1" applyBorder="1"/>
    <x:xf numFmtId="202" fontId="0" fillId="0" borderId="1" xfId="0" applyNumberFormat="1" applyFont="1" applyFill="1" applyBorder="1"/>
    <x:xf numFmtId="203" fontId="4" fillId="5" borderId="0" xfId="0" applyNumberFormat="1" applyFont="1" applyFill="1" applyBorder="1"/>
    <x:xf numFmtId="203" fontId="0" fillId="0" borderId="0" xfId="0" applyNumberFormat="1" applyFont="1" applyFill="1" applyBorder="1"/>
    <x:xf numFmtId="203" fontId="4" fillId="5" borderId="1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202" fontId="6" fillId="0" borderId="1" xfId="0" applyNumberFormat="1" applyFont="1" applyFill="1" applyBorder="1"/>
    <x:xf numFmtId="203" fontId="6" fillId="0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4" fillId="5" borderId="0" xfId="0" applyNumberFormat="1" applyFont="1" applyFill="1" applyBorder="1"/>
    <x:xf numFmtId="206" fontId="4" fillId="5" borderId="1" xfId="0" applyNumberFormat="1" applyFont="1" applyFill="1" applyBorder="1"/>
    <x:xf numFmtId="200" fontId="5" fillId="6" borderId="0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4802814504354" /><Relationship Type="http://schemas.openxmlformats.org/officeDocument/2006/relationships/theme" Target="/xl/theme/theme1.xml" Id="R5f4003df136c4407" /><Relationship Type="http://schemas.openxmlformats.org/officeDocument/2006/relationships/sharedStrings" Target="/xl/sharedStrings.xml" Id="R66ad7758796148b5" /><Relationship Type="http://schemas.openxmlformats.org/officeDocument/2006/relationships/worksheet" Target="/xl/worksheets/sheet1.xml" Id="R96d6787ca2a642bf" /><Relationship Type="http://schemas.openxmlformats.org/officeDocument/2006/relationships/worksheet" Target="/xl/worksheets/sheet2.xml" Id="Rbd202408bc0b419b" /><Relationship Type="http://schemas.openxmlformats.org/officeDocument/2006/relationships/worksheet" Target="/xl/worksheets/sheet3.xml" Id="R311d06a563c84806" /><Relationship Type="http://schemas.openxmlformats.org/officeDocument/2006/relationships/worksheet" Target="/xl/worksheets/sheet4.xml" Id="Ra3bf2ffaef37454c" /><Relationship Type="http://schemas.openxmlformats.org/officeDocument/2006/relationships/worksheet" Target="/xl/worksheets/sheet5.xml" Id="R6de6531667a64652" /><Relationship Type="http://schemas.openxmlformats.org/officeDocument/2006/relationships/worksheet" Target="/xl/worksheets/sheet6.xml" Id="R28d4522e6f9848f6" /><Relationship Type="http://schemas.openxmlformats.org/officeDocument/2006/relationships/worksheet" Target="/xl/worksheets/sheet7.xml" Id="Rd6368e12a41145cf" /><Relationship Type="http://schemas.openxmlformats.org/officeDocument/2006/relationships/worksheet" Target="/xl/worksheets/sheet8.xml" Id="Re7c79342f6664a11" /><Relationship Type="http://schemas.openxmlformats.org/officeDocument/2006/relationships/worksheet" Target="/xl/worksheets/sheet9.xml" Id="R95943ad57ae4418f" /><Relationship Type="http://schemas.openxmlformats.org/officeDocument/2006/relationships/worksheet" Target="/xl/worksheets/sheet10.xml" Id="R5dfe4b62f5c0489f" /><Relationship Type="http://schemas.openxmlformats.org/officeDocument/2006/relationships/worksheet" Target="/xl/worksheets/sheet11.xml" Id="R9b17bbf61f47404f" /><Relationship Type="http://schemas.openxmlformats.org/officeDocument/2006/relationships/worksheet" Target="/xl/worksheets/sheet12.xml" Id="Rc7678c26fbd3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" hidden="0" customWidth="1"/>
    <x:col min="8" max="8" width="27" hidden="0" customWidth="1"/>
    <x:col min="9" max="9" width="18" hidden="0" customWidth="1"/>
    <x:col min="10" max="10" width="36" hidden="0" customWidth="1"/>
  </x:cols>
  <x:sheetData>
    <x:row r="1" ht="28" customHeight="1">
      <x:c r="A1" s="4" t="str">
        <x:v>Sandisk（SNDK）v7.3五年财务预测</x:v>
      </x:c>
      <x:c r="B1" s="4" t="str">
        <x:v>Sandisk（SNDK）v7.3五年财务预测</x:v>
      </x:c>
      <x:c r="C1" s="4" t="str">
        <x:v>Sandisk（SNDK）v7.3五年财务预测</x:v>
      </x:c>
      <x:c r="D1" s="4" t="str">
        <x:v>Sandisk（SNDK）v7.3五年财务预测</x:v>
      </x:c>
      <x:c r="E1" s="4" t="str">
        <x:v>Sandisk（SNDK）v7.3五年财务预测</x:v>
      </x:c>
      <x:c r="F1" s="4" t="str">
        <x:v>Sandisk（SNDK）v7.3五年财务预测</x:v>
      </x:c>
      <x:c r="G1" s="4" t="str">
        <x:v>Sandisk（SNDK）v7.3五年财务预测</x:v>
      </x:c>
      <x:c r="H1" s="4" t="str">
        <x:v>Sandisk（SNDK）v7.3五年财务预测</x:v>
      </x:c>
      <x:c r="I1" s="4" t="str">
        <x:v>Sandisk（SNDK）v7.3五年财务预测</x:v>
      </x:c>
      <x:c r="J1" s="4" t="str">
        <x:v>Sandisk（SNDK）v7.3五年财务预测</x:v>
      </x:c>
    </x:row>
    <x:row r="2" ht="35" customHeight="1">
      <x:c r="A2" s="11" t="str">
        <x:v>信息截面2026-07-18；最新价格 $1350.034。FY26 Q4尚未披露，Base使用Q4公司指引中值。状态：screen/research之间。</x:v>
      </x:c>
      <x:c r="B2" s="11" t="str">
        <x:v>信息截面2026-07-18；最新价格 $1350.034。FY26 Q4尚未披露，Base使用Q4公司指引中值。状态：screen/research之间。</x:v>
      </x:c>
      <x:c r="C2" s="11" t="str">
        <x:v>信息截面2026-07-18；最新价格 $1350.034。FY26 Q4尚未披露，Base使用Q4公司指引中值。状态：screen/research之间。</x:v>
      </x:c>
      <x:c r="D2" s="11" t="str">
        <x:v>信息截面2026-07-18；最新价格 $1350.034。FY26 Q4尚未披露，Base使用Q4公司指引中值。状态：screen/research之间。</x:v>
      </x:c>
      <x:c r="E2" s="11" t="str">
        <x:v>信息截面2026-07-18；最新价格 $1350.034。FY26 Q4尚未披露，Base使用Q4公司指引中值。状态：screen/research之间。</x:v>
      </x:c>
      <x:c r="F2" s="11" t="str">
        <x:v>信息截面2026-07-18；最新价格 $1350.034。FY26 Q4尚未披露，Base使用Q4公司指引中值。状态：screen/research之间。</x:v>
      </x:c>
      <x:c r="G2" s="11" t="str">
        <x:v>信息截面2026-07-18；最新价格 $1350.034。FY26 Q4尚未披露，Base使用Q4公司指引中值。状态：screen/research之间。</x:v>
      </x:c>
      <x:c r="H2" s="11" t="str">
        <x:v>信息截面2026-07-18；最新价格 $1350.034。FY26 Q4尚未披露，Base使用Q4公司指引中值。状态：screen/research之间。</x:v>
      </x:c>
      <x:c r="I2" s="11" t="str">
        <x:v>信息截面2026-07-18；最新价格 $1350.034。FY26 Q4尚未披露，Base使用Q4公司指引中值。状态：screen/research之间。</x:v>
      </x:c>
      <x:c r="J2" s="11" t="str">
        <x:v>信息截面2026-07-18；最新价格 $1350.034。FY26 Q4尚未披露，Base使用Q4公司指引中值。状态：screen/research之间。</x:v>
      </x:c>
    </x:row>
    <x:row r="4" ht="21" customHeight="1">
      <x:c r="A4" s="50" t="str">
        <x:v>一、Base预测</x:v>
      </x:c>
      <x:c r="B4" s="50" t="str">
        <x:v>一、Base预测</x:v>
      </x:c>
      <x:c r="C4" s="50" t="str">
        <x:v>一、Base预测</x:v>
      </x:c>
      <x:c r="D4" s="50" t="str">
        <x:v>一、Base预测</x:v>
      </x:c>
      <x:c r="E4" s="50" t="str">
        <x:v>一、Base预测</x:v>
      </x:c>
      <x:c r="F4" s="50" t="str">
        <x:v>一、Base预测</x:v>
      </x:c>
      <x:c r="G4" s="50" t="str">
        <x:v>一、Base预测</x:v>
      </x:c>
      <x:c r="H4" s="50" t="str">
        <x:v>二、估值</x:v>
      </x:c>
      <x:c r="I4" s="50" t="str">
        <x:v>二、估值</x:v>
      </x:c>
      <x:c r="J4" s="50" t="str">
        <x:v>二、估值</x:v>
      </x:c>
    </x:row>
    <x:row r="5" ht="28" customHeight="1">
      <x:c r="A5" s="20" t="str">
        <x:v>项目</x:v>
      </x:c>
      <x:c r="B5" s="20" t="str">
        <x:v>FY2026E</x:v>
      </x:c>
      <x:c r="C5" s="20" t="str">
        <x:v>FY2027E</x:v>
      </x:c>
      <x:c r="D5" s="20" t="str">
        <x:v>FY2028E</x:v>
      </x:c>
      <x:c r="E5" s="20" t="str">
        <x:v>FY2029E</x:v>
      </x:c>
      <x:c r="F5" s="20" t="str">
        <x:v>FY2031E</x:v>
      </x:c>
      <x:c r="H5" s="20" t="str">
        <x:v>视角</x:v>
      </x:c>
      <x:c r="I5" s="20" t="str">
        <x:v>价值/倍数</x:v>
      </x:c>
      <x:c r="J5" s="20" t="str">
        <x:v>结论</x:v>
      </x:c>
    </x:row>
    <x:row r="6">
      <x:c r="A6" t="str">
        <x:v>营业收入</x:v>
      </x:c>
      <x:c r="B6" s="33" t="n">
        <x:f>'五年损益'!B9</x:f>
        <x:v>19.283</x:v>
      </x:c>
      <x:c r="C6" s="33" t="n">
        <x:f>'五年损益'!C9</x:f>
        <x:v>31.517542382303997</x:v>
      </x:c>
      <x:c r="D6" s="33" t="n">
        <x:f>'五年损益'!D9</x:f>
        <x:v>20.6230735666224</x:v>
      </x:c>
      <x:c r="E6" s="33" t="n">
        <x:f>'五年损益'!E9</x:f>
        <x:v>21.767222860325383</x:v>
      </x:c>
      <x:c r="F6" s="33" t="n">
        <x:f>'五年损益'!G9</x:f>
        <x:v>29.288528951419785</x:v>
      </x:c>
      <x:c r="H6" t="str">
        <x:v>当前股价</x:v>
      </x:c>
      <x:c r="I6" s="70" t="n">
        <x:v>1350.034</x:v>
      </x:c>
      <x:c r="J6" t="str"/>
    </x:row>
    <x:row r="7">
      <x:c r="A7" t="str">
        <x:v>毛利率</x:v>
      </x:c>
      <x:c r="B7" s="37" t="n">
        <x:f>'五年损益'!B16</x:f>
        <x:v>0.688912980345382</x:v>
      </x:c>
      <x:c r="C7" s="37" t="n">
        <x:f>'五年损益'!C16</x:f>
        <x:v>0.7951141276222802</x:v>
      </x:c>
      <x:c r="D7" s="37" t="n">
        <x:f>'五年损益'!D16</x:f>
        <x:v>0.5405852673735595</x:v>
      </x:c>
      <x:c r="E7" s="37" t="n">
        <x:f>'五年损益'!E16</x:f>
        <x:v>0.5610824221011854</x:v>
      </x:c>
      <x:c r="F7" s="37" t="n">
        <x:f>'五年损益'!G16</x:f>
        <x:v>0.6615524914050007</x:v>
      </x:c>
      <x:c r="H7" t="str">
        <x:v>FY27 P/E</x:v>
      </x:c>
      <x:c r="I7" s="68" t="n">
        <x:f>'估值与隐含预期'!B11</x:f>
        <x:v>10.878942645496753</x:v>
      </x:c>
      <x:c r="J7" t="str">
        <x:v>峰值年</x:v>
      </x:c>
    </x:row>
    <x:row r="8">
      <x:c r="A8" t="str">
        <x:v>净利润</x:v>
      </x:c>
      <x:c r="B8" s="33" t="n">
        <x:f>'五年损益'!B25</x:f>
        <x:v>9.578</x:v>
      </x:c>
      <x:c r="C8" s="33" t="n">
        <x:f>'五年损益'!C25</x:f>
        <x:v>19.358986517607782</x:v>
      </x:c>
      <x:c r="D8" s="33" t="n">
        <x:f>'五年损益'!D25</x:f>
        <x:v>7.3487649799848125</x:v>
      </x:c>
      <x:c r="E8" s="33" t="n">
        <x:f>'五年损益'!E25</x:f>
        <x:v>8.103461083656756</x:v>
      </x:c>
      <x:c r="F8" s="33" t="n">
        <x:f>'五年损益'!G25</x:f>
        <x:v>13.674237423867384</x:v>
      </x:c>
      <x:c r="H8" t="str">
        <x:v>FY28 P/E</x:v>
      </x:c>
      <x:c r="I8" s="68" t="n">
        <x:f>'估值与隐含预期'!B12</x:f>
        <x:v>28.291180431848524</x:v>
      </x:c>
      <x:c r="J8" t="str">
        <x:v>正常化开始</x:v>
      </x:c>
    </x:row>
    <x:row r="9">
      <x:c r="A9" t="str">
        <x:v>EPS</x:v>
      </x:c>
      <x:c r="B9" s="45" t="n">
        <x:f>'五年损益'!B27</x:f>
        <x:v>61.79354838709678</x:v>
      </x:c>
      <x:c r="C9" s="45" t="n">
        <x:f>'五年损益'!C27</x:f>
        <x:v>124.09606742056272</x:v>
      </x:c>
      <x:c r="D9" s="45" t="n">
        <x:f>'五年损益'!D27</x:f>
        <x:v>47.71925311678449</x:v>
      </x:c>
      <x:c r="E9" s="45" t="n">
        <x:f>'五年损益'!E27</x:f>
        <x:v>52.96379793239709</x:v>
      </x:c>
      <x:c r="F9" s="45" t="n">
        <x:f>'五年损益'!G27</x:f>
        <x:v>90.55786373422109</x:v>
      </x:c>
      <x:c r="H9" t="str">
        <x:v>Bear周期中值</x:v>
      </x:c>
      <x:c r="I9" s="70" t="n">
        <x:f>'估值与隐含预期'!I16</x:f>
        <x:v>352.742994106111</x:v>
      </x:c>
      <x:c r="J9" t="str"/>
    </x:row>
    <x:row r="10">
      <x:c r="A10" t="str">
        <x:v>自由现金流</x:v>
      </x:c>
      <x:c r="B10" s="33"/>
      <x:c r="C10" s="33" t="n">
        <x:f>'现金流与资本'!B11</x:f>
        <x:v>18.108986517607782</x:v>
      </x:c>
      <x:c r="D10" s="33" t="n">
        <x:f>'现金流与资本'!C11</x:f>
        <x:v>8.448764979984812</x:v>
      </x:c>
      <x:c r="E10" s="33" t="n">
        <x:f>'现金流与资本'!D11</x:f>
        <x:v>7.753461083656757</x:v>
      </x:c>
      <x:c r="F10" s="33" t="n">
        <x:f>'现金流与资本'!F11</x:f>
        <x:v>12.974237423867384</x:v>
      </x:c>
      <x:c r="H10" t="str">
        <x:v>Base周期中值</x:v>
      </x:c>
      <x:c r="I10" s="70" t="n">
        <x:f>'估值与隐含预期'!I17</x:f>
        <x:v>814.0037779348288</x:v>
      </x:c>
      <x:c r="J10" t="str"/>
    </x:row>
    <x:row r="11">
      <x:c r="A11" t="str">
        <x:v>Datacenter收入占比</x:v>
      </x:c>
      <x:c r="B11" s="37" t="n">
        <x:f>'五年损益'!B5/'五年损益'!B9</x:f>
        <x:v>0.23730747290359386</x:v>
      </x:c>
      <x:c r="C11" s="37" t="n">
        <x:f>'五年损益'!C5/'五年损益'!C9</x:f>
        <x:v>0.37364876863356233</x:v>
      </x:c>
      <x:c r="D11" s="37" t="n">
        <x:f>'五年损益'!D5/'五年损益'!D9</x:f>
        <x:v>0.47966915917293557</x:v>
      </x:c>
      <x:c r="E11" s="37" t="n">
        <x:f>'五年损益'!E5/'五年损益'!E9</x:f>
        <x:v>0.5317139137254702</x:v>
      </x:c>
      <x:c r="F11" s="37" t="n">
        <x:f>'五年损益'!G5/'五年损益'!G9</x:f>
        <x:v>0.6223920655620157</x:v>
      </x:c>
      <x:c r="H11" t="str">
        <x:v>Bull周期中值</x:v>
      </x:c>
      <x:c r="I11" s="70" t="n">
        <x:f>'估值与隐含预期'!I18</x:f>
        <x:v>1789.6863018177255</x:v>
      </x:c>
      <x:c r="J11" t="str"/>
    </x:row>
    <x:row r="12">
      <x:c r="A12" t="str">
        <x:v>HBF Base收入</x:v>
      </x:c>
      <x:c r="B12" s="33" t="n">
        <x:v>0</x:v>
      </x:c>
      <x:c r="C12" s="33" t="n">
        <x:v>0</x:v>
      </x:c>
      <x:c r="D12" s="33" t="n">
        <x:v>0</x:v>
      </x:c>
      <x:c r="E12" s="33" t="n">
        <x:v>0</x:v>
      </x:c>
      <x:c r="F12" s="33" t="n">
        <x:v>0</x:v>
      </x:c>
      <x:c r="H12" t="str">
        <x:v>概率加权周期价值</x:v>
      </x:c>
      <x:c r="I12" s="70" t="n">
        <x:f>'估值与隐含预期'!I19</x:f>
        <x:v>965.6722521398094</x:v>
      </x:c>
      <x:c r="J12" t="str"/>
    </x:row>
    <x:row r="13">
      <x:c r="H13" t="str">
        <x:v>长期正常化Base</x:v>
      </x:c>
      <x:c r="I13" s="70" t="n">
        <x:f>'估值与隐含预期'!C39</x:f>
        <x:v>781.2467386775019</x:v>
      </x:c>
      <x:c r="J13" t="str"/>
    </x:row>
    <x:row r="15" ht="21" customHeight="1">
      <x:c r="A15" s="50" t="str">
        <x:v>三、核心判断</x:v>
      </x:c>
      <x:c r="B15" s="50" t="str">
        <x:v>三、核心判断</x:v>
      </x:c>
      <x:c r="C15" s="50" t="str">
        <x:v>三、核心判断</x:v>
      </x:c>
      <x:c r="D15" s="50" t="str">
        <x:v>三、核心判断</x:v>
      </x:c>
      <x:c r="E15" s="50" t="str">
        <x:v>三、核心判断</x:v>
      </x:c>
      <x:c r="F15" s="50" t="str">
        <x:v>三、核心判断</x:v>
      </x:c>
      <x:c r="G15" s="50" t="str">
        <x:v>三、核心判断</x:v>
      </x:c>
      <x:c r="H15" s="50" t="str">
        <x:v>三、核心判断</x:v>
      </x:c>
      <x:c r="I15" s="50" t="str">
        <x:v>三、核心判断</x:v>
      </x:c>
      <x:c r="J15" s="50" t="str">
        <x:v>三、核心判断</x:v>
      </x:c>
    </x:row>
    <x:row r="16">
      <x:c r="A16" s="81" t="str">
        <x:v>FY27仍是高景气全年化：Base收入约315亿美元、EPS约124美元；但FY28在ASP大幅正常化、渠道库存修正和有效成本上升后，收入降至约206亿美元、EPS约48美元。FY29–FY31依靠Datacenter bit增长与产品mix恢复，Base HBF收入始终为0。当前约1350美元股价对应约10.9倍FY27 EPS、28倍FY28 EPS；概率加权周期价值和长期正常化价值均低于当前价。因此当前价格要求Bull概率显著高于Base框架，关键验证是NBM价格条款、FY27 H2 ASP、Edge/Consumer sell-through、DC多客户量产和HBF阶段跃迁。</x:v>
      </x:c>
      <x:c r="B16" s="81"/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4" ht="21" customHeight="1">
      <x:c r="A24" s="50" t="str">
        <x:v>四、相对上一版的主要变化</x:v>
      </x:c>
      <x:c r="B24" s="50" t="str">
        <x:v>四、相对上一版的主要变化</x:v>
      </x:c>
      <x:c r="C24" s="50" t="str">
        <x:v>四、相对上一版的主要变化</x:v>
      </x:c>
      <x:c r="D24" s="50" t="str">
        <x:v>四、相对上一版的主要变化</x:v>
      </x:c>
      <x:c r="E24" s="50" t="str">
        <x:v>四、相对上一版的主要变化</x:v>
      </x:c>
      <x:c r="F24" s="50" t="str">
        <x:v>四、相对上一版的主要变化</x:v>
      </x:c>
      <x:c r="G24" s="50" t="str">
        <x:v>四、相对上一版的主要变化</x:v>
      </x:c>
      <x:c r="H24" s="50" t="str">
        <x:v>四、相对上一版的主要变化</x:v>
      </x:c>
      <x:c r="I24" s="50" t="str">
        <x:v>四、相对上一版的主要变化</x:v>
      </x:c>
      <x:c r="J24" s="50" t="str">
        <x:v>四、相对上一版的主要变化</x:v>
      </x:c>
    </x:row>
    <x:row r="25" ht="28" customHeight="1">
      <x:c r="A25" s="20" t="str">
        <x:v>变化</x:v>
      </x:c>
      <x:c r="B25" s="20" t="str">
        <x:v>方向</x:v>
      </x:c>
      <x:c r="C25" s="20" t="str">
        <x:v>原因</x:v>
      </x:c>
      <x:c r="D25" s="20" t="str">
        <x:v>主要影响</x:v>
      </x:c>
      <x:c r="E25" s="20" t="str">
        <x:v>结论</x:v>
      </x:c>
    </x:row>
    <x:row r="26" ht="44" customHeight="1">
      <x:c r="A26" s="26" t="str">
        <x:v>FY27收入/利润</x:v>
      </x:c>
      <x:c r="B26" s="26" t="str">
        <x:v>小幅下调</x:v>
      </x:c>
      <x:c r="C26" s="26" t="str">
        <x:v>加入Edge/Consumer渠道sell-in修正</x:v>
      </x:c>
      <x:c r="D26" s="26" t="str">
        <x:v>FY27 H2</x:v>
      </x:c>
      <x:c r="E26" s="26" t="str">
        <x:v>仍高景气</x:v>
      </x:c>
    </x:row>
    <x:row r="27" ht="44" customHeight="1">
      <x:c r="A27" s="26" t="str">
        <x:v>FY28利润</x:v>
      </x:c>
      <x:c r="B27" s="26" t="str">
        <x:v>明显下调</x:v>
      </x:c>
      <x:c r="C27" s="26" t="str">
        <x:v>ASP下降＋低利用率导致有效成本/bit上升</x:v>
      </x:c>
      <x:c r="D27" s="26" t="str">
        <x:v>FY28 EPS</x:v>
      </x:c>
      <x:c r="E27" s="26" t="str">
        <x:v>周期风险更真实</x:v>
      </x:c>
    </x:row>
    <x:row r="28" ht="44" customHeight="1">
      <x:c r="A28" s="26" t="str">
        <x:v>FY29–31</x:v>
      </x:c>
      <x:c r="B28" s="26" t="str">
        <x:v>更保守</x:v>
      </x:c>
      <x:c r="C28" s="26" t="str">
        <x:v>不把BiCS10送样和HBF提前资本化</x:v>
      </x:c>
      <x:c r="D28" s="26" t="str">
        <x:v>长期价值</x:v>
      </x:c>
      <x:c r="E28" s="26" t="str">
        <x:v>降低过度乐观</x:v>
      </x:c>
    </x:row>
    <x:row r="29" ht="44" customHeight="1">
      <x:c r="A29" s="26" t="str">
        <x:v>RPO/NBM</x:v>
      </x:c>
      <x:c r="B29" s="26" t="str">
        <x:v>更保守</x:v>
      </x:c>
      <x:c r="C29" s="26" t="str">
        <x:v>不披露price floor时Base锁价比例=0</x:v>
      </x:c>
      <x:c r="D29" s="26" t="str">
        <x:v>GM底部</x:v>
      </x:c>
      <x:c r="E29" s="26" t="str">
        <x:v>只提高可见性</x:v>
      </x:c>
    </x:row>
    <x:row r="30" ht="44" customHeight="1">
      <x:c r="A30" s="26" t="str">
        <x:v>估值</x:v>
      </x:c>
      <x:c r="B30" s="26" t="str">
        <x:v>下调Base/正常化</x:v>
      </x:c>
      <x:c r="C30" s="26" t="str">
        <x:v>峰值利润权重降低、当前价格更新</x:v>
      </x:c>
      <x:c r="D30" s="26" t="str">
        <x:v>安全边际</x:v>
      </x:c>
      <x:c r="E30" s="26" t="str">
        <x:v>当前更接近Bull定价</x:v>
      </x:c>
    </x:row>
  </x:sheetData>
  <x:mergeCells>
    <x:mergeCell ref="A1:J1"/>
    <x:mergeCell ref="A2:J2"/>
    <x:mergeCell ref="A4:J4"/>
    <x:mergeCell ref="H4:J4"/>
    <x:mergeCell ref="A15:J15"/>
    <x:mergeCell ref="A16:J22"/>
    <x:mergeCell ref="A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13" hidden="0" customWidth="1"/>
    <x:col min="5" max="5" width="51" hidden="0" customWidth="1"/>
    <x:col min="6" max="6" width="35" hidden="0" customWidth="1"/>
    <x:col min="7" max="7" width="36" hidden="0" customWidth="1"/>
    <x:col min="8" max="8" width="67" hidden="0" customWidth="1"/>
    <x:col min="9" max="9" width="16" hidden="0" customWidth="1"/>
    <x:col min="10" max="10" width="18" hidden="0" customWidth="1"/>
    <x:col min="11" max="11" width="17" hidden="0" customWidth="1"/>
  </x:cols>
  <x:sheetData>
    <x:row r="1" ht="28" customHeight="1">
      <x:c r="A1" s="4" t="str">
        <x:v>Source Pack：事实、官方前瞻与分析师假设</x:v>
      </x:c>
      <x:c r="B1" s="4" t="str">
        <x:v>Source Pack：事实、官方前瞻与分析师假设</x:v>
      </x:c>
      <x:c r="C1" s="4" t="str">
        <x:v>Source Pack：事实、官方前瞻与分析师假设</x:v>
      </x:c>
      <x:c r="D1" s="4" t="str">
        <x:v>Source Pack：事实、官方前瞻与分析师假设</x:v>
      </x:c>
      <x:c r="E1" s="4" t="str">
        <x:v>Source Pack：事实、官方前瞻与分析师假设</x:v>
      </x:c>
      <x:c r="F1" s="4" t="str">
        <x:v>Source Pack：事实、官方前瞻与分析师假设</x:v>
      </x:c>
      <x:c r="G1" s="4" t="str">
        <x:v>Source Pack：事实、官方前瞻与分析师假设</x:v>
      </x:c>
      <x:c r="H1" s="4" t="str">
        <x:v>Source Pack：事实、官方前瞻与分析师假设</x:v>
      </x:c>
      <x:c r="I1" s="4" t="str">
        <x:v>Source Pack：事实、官方前瞻与分析师假设</x:v>
      </x:c>
      <x:c r="J1" s="4" t="str">
        <x:v>Source Pack：事实、官方前瞻与分析师假设</x:v>
      </x:c>
      <x:c r="K1" s="4" t="str">
        <x:v>Source Pack：事实、官方前瞻与分析师假设</x:v>
      </x:c>
    </x:row>
    <x:row r="2" ht="35" customHeight="1">
      <x:c r="A2" s="11" t="str">
        <x:v>E0/E1可作硬锚；E2用于技术边界；E3只进入假设/情景；E4不得进入Base。</x:v>
      </x:c>
      <x:c r="B2" s="11" t="str">
        <x:v>E0/E1可作硬锚；E2用于技术边界；E3只进入假设/情景；E4不得进入Base。</x:v>
      </x:c>
      <x:c r="C2" s="11" t="str">
        <x:v>E0/E1可作硬锚；E2用于技术边界；E3只进入假设/情景；E4不得进入Base。</x:v>
      </x:c>
      <x:c r="D2" s="11" t="str">
        <x:v>E0/E1可作硬锚；E2用于技术边界；E3只进入假设/情景；E4不得进入Base。</x:v>
      </x:c>
      <x:c r="E2" s="11" t="str">
        <x:v>E0/E1可作硬锚；E2用于技术边界；E3只进入假设/情景；E4不得进入Base。</x:v>
      </x:c>
      <x:c r="F2" s="11" t="str">
        <x:v>E0/E1可作硬锚；E2用于技术边界；E3只进入假设/情景；E4不得进入Base。</x:v>
      </x:c>
      <x:c r="G2" s="11" t="str">
        <x:v>E0/E1可作硬锚；E2用于技术边界；E3只进入假设/情景；E4不得进入Base。</x:v>
      </x:c>
      <x:c r="H2" s="11" t="str">
        <x:v>E0/E1可作硬锚；E2用于技术边界；E3只进入假设/情景；E4不得进入Base。</x:v>
      </x:c>
      <x:c r="I2" s="11" t="str">
        <x:v>E0/E1可作硬锚；E2用于技术边界；E3只进入假设/情景；E4不得进入Base。</x:v>
      </x:c>
      <x:c r="J2" s="11" t="str">
        <x:v>E0/E1可作硬锚；E2用于技术边界；E3只进入假设/情景；E4不得进入Base。</x:v>
      </x:c>
      <x:c r="K2" s="11" t="str">
        <x:v>E0/E1可作硬锚；E2用于技术边界；E3只进入假设/情景；E4不得进入Base。</x:v>
      </x:c>
    </x:row>
    <x:row r="4" ht="28" customHeight="1">
      <x:c r="A4" s="20" t="str">
        <x:v>source_id</x:v>
      </x:c>
      <x:c r="B4" s="20" t="str">
        <x:v>主题</x:v>
      </x:c>
      <x:c r="C4" s="20" t="str">
        <x:v>日期/期间</x:v>
      </x:c>
      <x:c r="D4" s="20" t="str">
        <x:v>等级</x:v>
      </x:c>
      <x:c r="E4" s="20" t="str">
        <x:v>关键事实</x:v>
      </x:c>
      <x:c r="F4" s="20" t="str">
        <x:v>模型权限</x:v>
      </x:c>
      <x:c r="G4" s="20" t="str">
        <x:v>禁止推断</x:v>
      </x:c>
      <x:c r="H4" s="20" t="str">
        <x:v>URL</x:v>
      </x:c>
      <x:c r="I4" s="20" t="str">
        <x:v>检索时间</x:v>
      </x:c>
      <x:c r="J4" s="20" t="str">
        <x:v>状态</x:v>
      </x:c>
      <x:c r="K4" s="20" t="str">
        <x:v>责任</x:v>
      </x:c>
    </x:row>
    <x:row r="5" ht="60" customHeight="1">
      <x:c r="A5" s="26" t="str">
        <x:v>SNDK_Q1_26</x:v>
      </x:c>
      <x:c r="B5" s="26" t="str">
        <x:v>FY26 Q1</x:v>
      </x:c>
      <x:c r="C5" s="26" t="str">
        <x:v>2025-11-06</x:v>
      </x:c>
      <x:c r="D5" s="26" t="str">
        <x:v>E1</x:v>
      </x:c>
      <x:c r="E5" s="26" t="str">
        <x:v>收入23.08亿美元；DC 2.69、Edge 13.87、Consumer 6.52；两家hyperscaler资格认证；BiCS8占15% bits</x:v>
      </x:c>
      <x:c r="F5" s="26" t="str">
        <x:v>FY26季度锚、客户/节点阶段</x:v>
      </x:c>
      <x:c r="G5" s="26" t="str">
        <x:v>资格=量产订单</x:v>
      </x:c>
      <x:c r="H5" s="26" t="str">
        <x:v>https://investor.sandisk.com/news-releases/news-release-details/sandisk-reports-fiscal-first-quarter-2026-financial-results</x:v>
      </x:c>
      <x:c r="I5" s="26" t="str">
        <x:v>2026-07-18</x:v>
      </x:c>
      <x:c r="J5" s="26" t="str">
        <x:v>已核验</x:v>
      </x:c>
      <x:c r="K5" s="26" t="str">
        <x:v>财务/行业</x:v>
      </x:c>
    </x:row>
    <x:row r="6" ht="60" customHeight="1">
      <x:c r="A6" s="26" t="str">
        <x:v>SNDK_Q2_26</x:v>
      </x:c>
      <x:c r="B6" s="26" t="str">
        <x:v>FY26 Q2</x:v>
      </x:c>
      <x:c r="C6" s="26" t="str">
        <x:v>2026-01-29</x:v>
      </x:c>
      <x:c r="D6" s="26" t="str">
        <x:v>E1</x:v>
      </x:c>
      <x:c r="E6" s="26" t="str">
        <x:v>收入30.25亿美元；GM 50.9%；DC 4.40、Edge 16.78、Consumer 9.07</x:v>
      </x:c>
      <x:c r="F6" s="26" t="str">
        <x:v>FY26季度锚、AI需求方向</x:v>
      </x:c>
      <x:c r="G6" s="26" t="str">
        <x:v>具体客户份额已确认</x:v>
      </x:c>
      <x:c r="H6" s="26" t="str">
        <x:v>https://investor.sandisk.com/news-releases/news-release-details/sandisk-reports-fiscal-second-quarter-2026-financial-results</x:v>
      </x:c>
      <x:c r="I6" s="26" t="str">
        <x:v>2026-07-18</x:v>
      </x:c>
      <x:c r="J6" s="26" t="str">
        <x:v>已核验</x:v>
      </x:c>
      <x:c r="K6" s="26" t="str">
        <x:v>财务/行业</x:v>
      </x:c>
    </x:row>
    <x:row r="7" ht="60" customHeight="1">
      <x:c r="A7" s="26" t="str">
        <x:v>SNDK_Q3_26</x:v>
      </x:c>
      <x:c r="B7" s="26" t="str">
        <x:v>FY26 Q3/Q4指引</x:v>
      </x:c>
      <x:c r="C7" s="26" t="str">
        <x:v>2026-04-30</x:v>
      </x:c>
      <x:c r="D7" s="26" t="str">
        <x:v>E1</x:v>
      </x:c>
      <x:c r="E7" s="26" t="str">
        <x:v>Q3收入59.50亿美元、GM 78.4%、净利36.15亿美元；Q4收入77.5–82.5、GM 78.9–80.9%；5份NBM</x:v>
      </x:c>
      <x:c r="F7" s="26" t="str">
        <x:v>FY26基期与FY27退出水平</x:v>
      </x:c>
      <x:c r="G7" s="26" t="str">
        <x:v>NBM锁定产品ASP/GM</x:v>
      </x:c>
      <x:c r="H7" s="26" t="str">
        <x:v>https://investor.sandisk.com/news-releases/news-release-details/sandisk-reports-fiscal-third-quarter-2026-financial-results</x:v>
      </x:c>
      <x:c r="I7" s="26" t="str">
        <x:v>2026-07-18</x:v>
      </x:c>
      <x:c r="J7" s="26" t="str">
        <x:v>已核验</x:v>
      </x:c>
      <x:c r="K7" s="26" t="str">
        <x:v>财务</x:v>
      </x:c>
    </x:row>
    <x:row r="8" ht="60" customHeight="1">
      <x:c r="A8" s="26" t="str">
        <x:v>SNDK_Q3_10Q</x:v>
      </x:c>
      <x:c r="B8" s="26" t="str">
        <x:v>FY26 Q3 10-Q</x:v>
      </x:c>
      <x:c r="C8" s="26" t="str">
        <x:v>2026-04-03</x:v>
      </x:c>
      <x:c r="D8" s="26" t="str">
        <x:v>E0</x:v>
      </x:c>
      <x:c r="E8" s="26" t="str">
        <x:v>现金37.35亿美元；RPO 416亿美元、15%未来12月；合同负债5.11亿美元；Top10客户46%；FV承诺/担保</x:v>
      </x:c>
      <x:c r="F8" s="26" t="str">
        <x:v>现金、合同、客户、JV硬锚</x:v>
      </x:c>
      <x:c r="G8" s="26" t="str">
        <x:v>RPO=下一年收入/price floor</x:v>
      </x:c>
      <x:c r="H8" s="26" t="str">
        <x:v>https://www.sec.gov/Archives/edgar/data/2023554/000162828026029401/sndk-20260403.htm</x:v>
      </x:c>
      <x:c r="I8" s="26" t="str">
        <x:v>2026-07-18</x:v>
      </x:c>
      <x:c r="J8" s="26" t="str">
        <x:v>已核验</x:v>
      </x:c>
      <x:c r="K8" s="26" t="str">
        <x:v>财务/法律</x:v>
      </x:c>
    </x:row>
    <x:row r="9" ht="60" customHeight="1">
      <x:c r="A9" s="26" t="str">
        <x:v>SNDK_BICS10</x:v>
      </x:c>
      <x:c r="B9" s="26" t="str">
        <x:v>BiCS10</x:v>
      </x:c>
      <x:c r="C9" s="26" t="str">
        <x:v>2026-07-02</x:v>
      </x:c>
      <x:c r="D9" s="26" t="str">
        <x:v>E1/E2</x:v>
      </x:c>
      <x:c r="E9" s="26" t="str">
        <x:v>1Tb TLC送样；332层、密度+59%、接口+33%、I/O功耗改善</x:v>
      </x:c>
      <x:c r="F9" s="26" t="str">
        <x:v>技术阶段与成本上行期权</x:v>
      </x:c>
      <x:c r="G9" s="26" t="str">
        <x:v>密度提升=同比例成本下降</x:v>
      </x:c>
      <x:c r="H9" s="26" t="str">
        <x:v>https://investor.sandisk.com/news-releases/news-release-details/sandisk-announces-sampling-bics10-1tb-tlc-3d-nand-flash-memory</x:v>
      </x:c>
      <x:c r="I9" s="26" t="str">
        <x:v>2026-07-18</x:v>
      </x:c>
      <x:c r="J9" s="26" t="str">
        <x:v>已核验</x:v>
      </x:c>
      <x:c r="K9" s="26" t="str">
        <x:v>技术</x:v>
      </x:c>
    </x:row>
    <x:row r="10" ht="60" customHeight="1">
      <x:c r="A10" s="26" t="str">
        <x:v>SNDK_HBF</x:v>
      </x:c>
      <x:c r="B10" s="26" t="str">
        <x:v>HBF</x:v>
      </x:c>
      <x:c r="C10" s="26" t="str">
        <x:v>2025-08-06</x:v>
      </x:c>
      <x:c r="D10" s="26" t="str">
        <x:v>E1/E2</x:v>
      </x:c>
      <x:c r="E10" s="26" t="str">
        <x:v>目标H2 CY26样品、2027年初AI设备样品</x:v>
      </x:c>
      <x:c r="F10" s="26" t="str">
        <x:v>Bull独立期权；Base收入=0</x:v>
      </x:c>
      <x:c r="G10" s="26" t="str">
        <x:v>样品=量产/订单</x:v>
      </x:c>
      <x:c r="H10" s="26" t="str">
        <x:v>https://investor.sandisk.com/news-releases/news-release-details/sandisk-collaborate-sk-hynix-drive-standardization-high</x:v>
      </x:c>
      <x:c r="I10" s="26" t="str">
        <x:v>2026-07-18</x:v>
      </x:c>
      <x:c r="J10" s="26" t="str">
        <x:v>已核验</x:v>
      </x:c>
      <x:c r="K10" s="26" t="str">
        <x:v>技术</x:v>
      </x:c>
    </x:row>
    <x:row r="11" ht="60" customHeight="1">
      <x:c r="A11" s="26" t="str">
        <x:v>SNDK_EVENTS</x:v>
      </x:c>
      <x:c r="B11" s="26" t="str">
        <x:v>财报/Investor Day</x:v>
      </x:c>
      <x:c r="C11" s="26" t="str">
        <x:v>2026-07-09</x:v>
      </x:c>
      <x:c r="D11" s="26" t="str">
        <x:v>E1</x:v>
      </x:c>
      <x:c r="E11" s="26" t="str">
        <x:v>FY26 Q4财报2026-08-05；Investor Day 2026-08-13</x:v>
      </x:c>
      <x:c r="F11" s="26" t="str">
        <x:v>下一验证窗口</x:v>
      </x:c>
      <x:c r="G11" s="26" t="str">
        <x:v>事件已发生</x:v>
      </x:c>
      <x:c r="H11" s="26" t="str">
        <x:v>https://investor.sandisk.com/</x:v>
      </x:c>
      <x:c r="I11" s="26" t="str">
        <x:v>2026-07-18</x:v>
      </x:c>
      <x:c r="J11" s="26" t="str">
        <x:v>已核验</x:v>
      </x:c>
      <x:c r="K11" s="26" t="str">
        <x:v>监测</x:v>
      </x:c>
    </x:row>
    <x:row r="12" ht="60" customHeight="1">
      <x:c r="A12" s="26" t="str">
        <x:v>SNDK_PRICE</x:v>
      </x:c>
      <x:c r="B12" s="26" t="str">
        <x:v>市场价格</x:v>
      </x:c>
      <x:c r="C12" s="26" t="str">
        <x:v>2026-07-17 23:59:57 UTC（Alpaca delayed SIP latest trade）</x:v>
      </x:c>
      <x:c r="D12" s="26" t="str">
        <x:v>市场数据</x:v>
      </x:c>
      <x:c r="E12" s="26" t="str">
        <x:v>最新交易价 $1350.034</x:v>
      </x:c>
      <x:c r="F12" s="26" t="str">
        <x:v>估值锚</x:v>
      </x:c>
      <x:c r="G12" s="26" t="str">
        <x:v>实时无延迟</x:v>
      </x:c>
      <x:c r="H12" s="26" t="str">
        <x:v>https://alpaca.markets/</x:v>
      </x:c>
      <x:c r="I12" s="26" t="str">
        <x:v>2026-07-18</x:v>
      </x:c>
      <x:c r="J12" s="26" t="str">
        <x:v>Alpaca delayed SIP</x:v>
      </x:c>
      <x:c r="K12" s="26" t="str">
        <x:v>市场数据</x:v>
      </x:c>
    </x:row>
    <x:row r="13" ht="60" customHeight="1">
      <x:c r="A13" s="26" t="str">
        <x:v>BASE_ASSUMPTIONS</x:v>
      </x:c>
      <x:c r="B13" s="26" t="str">
        <x:v>v7.3 Base</x:v>
      </x:c>
      <x:c r="C13" s="26" t="str">
        <x:v>2026-07-18</x:v>
      </x:c>
      <x:c r="D13" s="26" t="str">
        <x:v>E3</x:v>
      </x:c>
      <x:c r="E13" s="26" t="str">
        <x:v>FY27渠道修正；FY28 ASP正常化与有效成本回升；HBF=0</x:v>
      </x:c>
      <x:c r="F13" s="26" t="str">
        <x:v>Base/敏感性</x:v>
      </x:c>
      <x:c r="G13" s="26" t="str">
        <x:v>公司指引/共识</x:v>
      </x:c>
      <x:c r="H13" s="26" t="str"/>
      <x:c r="I13" s="26" t="str">
        <x:v>2026-07-18</x:v>
      </x:c>
      <x:c r="J13" s="26" t="str">
        <x:v>分析师输入</x:v>
      </x:c>
      <x:c r="K13" s="26" t="str">
        <x:v>模型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39" hidden="0" customWidth="1"/>
    <x:col min="5" max="5" width="40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FY2026季度实际与Q4指引桥</x:v>
      </x:c>
      <x:c r="B1" s="4" t="str">
        <x:v>FY2026季度实际与Q4指引桥</x:v>
      </x:c>
      <x:c r="C1" s="4" t="str">
        <x:v>FY2026季度实际与Q4指引桥</x:v>
      </x:c>
      <x:c r="D1" s="4" t="str">
        <x:v>FY2026季度实际与Q4指引桥</x:v>
      </x:c>
      <x:c r="E1" s="4" t="str">
        <x:v>FY2026季度实际与Q4指引桥</x:v>
      </x:c>
      <x:c r="F1" s="4" t="str">
        <x:v>FY2026季度实际与Q4指引桥</x:v>
      </x:c>
      <x:c r="G1" s="4" t="str">
        <x:v>FY2026季度实际与Q4指引桥</x:v>
      </x:c>
      <x:c r="H1" s="4" t="str">
        <x:v>FY2026季度实际与Q4指引桥</x:v>
      </x:c>
      <x:c r="I1" s="4" t="str">
        <x:v>FY2026季度实际与Q4指引桥</x:v>
      </x:c>
      <x:c r="J1" s="4" t="str">
        <x:v>FY2026季度实际与Q4指引桥</x:v>
      </x:c>
    </x:row>
    <x:row r="2" ht="35" customHeight="1">
      <x:c r="A2" s="11" t="str">
        <x:v>Q1–Q3为实际，Q4收入/毛利率取指引中值；Q4分市场收入是分析师拆分并与总收入勾稽。</x:v>
      </x:c>
      <x:c r="B2" s="11" t="str">
        <x:v>Q1–Q3为实际，Q4收入/毛利率取指引中值；Q4分市场收入是分析师拆分并与总收入勾稽。</x:v>
      </x:c>
      <x:c r="C2" s="11" t="str">
        <x:v>Q1–Q3为实际，Q4收入/毛利率取指引中值；Q4分市场收入是分析师拆分并与总收入勾稽。</x:v>
      </x:c>
      <x:c r="D2" s="11" t="str">
        <x:v>Q1–Q3为实际，Q4收入/毛利率取指引中值；Q4分市场收入是分析师拆分并与总收入勾稽。</x:v>
      </x:c>
      <x:c r="E2" s="11" t="str">
        <x:v>Q1–Q3为实际，Q4收入/毛利率取指引中值；Q4分市场收入是分析师拆分并与总收入勾稽。</x:v>
      </x:c>
      <x:c r="F2" s="11" t="str">
        <x:v>Q1–Q3为实际，Q4收入/毛利率取指引中值；Q4分市场收入是分析师拆分并与总收入勾稽。</x:v>
      </x:c>
      <x:c r="G2" s="11" t="str">
        <x:v>Q1–Q3为实际，Q4收入/毛利率取指引中值；Q4分市场收入是分析师拆分并与总收入勾稽。</x:v>
      </x:c>
      <x:c r="H2" s="11" t="str">
        <x:v>Q1–Q3为实际，Q4收入/毛利率取指引中值；Q4分市场收入是分析师拆分并与总收入勾稽。</x:v>
      </x:c>
      <x:c r="I2" s="11" t="str">
        <x:v>Q1–Q3为实际，Q4收入/毛利率取指引中值；Q4分市场收入是分析师拆分并与总收入勾稽。</x:v>
      </x:c>
      <x:c r="J2" s="11" t="str">
        <x:v>Q1–Q3为实际，Q4收入/毛利率取指引中值；Q4分市场收入是分析师拆分并与总收入勾稽。</x:v>
      </x:c>
    </x:row>
    <x:row r="4" ht="28" customHeight="1">
      <x:c r="A4" s="20" t="str">
        <x:v>项目</x:v>
      </x:c>
      <x:c r="B4" s="20" t="str">
        <x:v>Q1 FY26A</x:v>
      </x:c>
      <x:c r="C4" s="20" t="str">
        <x:v>Q2 FY26A</x:v>
      </x:c>
      <x:c r="D4" s="20" t="str">
        <x:v>Q3 FY26A</x:v>
      </x:c>
      <x:c r="E4" s="20" t="str">
        <x:v>Q4 FY26E</x:v>
      </x:c>
      <x:c r="F4" s="20" t="str">
        <x:v>FY2026E</x:v>
      </x:c>
    </x:row>
    <x:row r="5">
      <x:c r="A5" t="str">
        <x:v>Datacenter收入</x:v>
      </x:c>
      <x:c r="B5" s="32" t="n">
        <x:v>0.269</x:v>
      </x:c>
      <x:c r="C5" s="32" t="n">
        <x:v>0.44</x:v>
      </x:c>
      <x:c r="D5" s="32" t="n">
        <x:v>1.467</x:v>
      </x:c>
      <x:c r="E5" s="32" t="n">
        <x:v>2.4</x:v>
      </x:c>
      <x:c r="F5" s="33" t="n">
        <x:f>SUM(B5:E5)</x:f>
        <x:v>4.5760000000000005</x:v>
      </x:c>
    </x:row>
    <x:row r="6">
      <x:c r="A6" t="str">
        <x:v>Edge收入</x:v>
      </x:c>
      <x:c r="B6" s="32" t="n">
        <x:v>1.387</x:v>
      </x:c>
      <x:c r="C6" s="32" t="n">
        <x:v>1.678</x:v>
      </x:c>
      <x:c r="D6" s="32" t="n">
        <x:v>3.663</x:v>
      </x:c>
      <x:c r="E6" s="32" t="n">
        <x:v>4.6</x:v>
      </x:c>
      <x:c r="F6" s="33" t="n">
        <x:f>SUM(B6:E6)</x:f>
        <x:v>11.328</x:v>
      </x:c>
    </x:row>
    <x:row r="7">
      <x:c r="A7" t="str">
        <x:v>Consumer收入</x:v>
      </x:c>
      <x:c r="B7" s="32" t="n">
        <x:v>0.652</x:v>
      </x:c>
      <x:c r="C7" s="32" t="n">
        <x:v>0.907</x:v>
      </x:c>
      <x:c r="D7" s="32" t="n">
        <x:v>0.82</x:v>
      </x:c>
      <x:c r="E7" s="32" t="n">
        <x:v>1</x:v>
      </x:c>
      <x:c r="F7" s="33" t="n">
        <x:f>SUM(B7:E7)</x:f>
        <x:v>3.379</x:v>
      </x:c>
    </x:row>
    <x:row r="8">
      <x:c r="A8" t="str">
        <x:v>营业收入</x:v>
      </x:c>
      <x:c r="B8" s="32" t="n">
        <x:v>2.308</x:v>
      </x:c>
      <x:c r="C8" s="32" t="n">
        <x:v>3.025</x:v>
      </x:c>
      <x:c r="D8" s="32" t="n">
        <x:v>5.95</x:v>
      </x:c>
      <x:c r="E8" s="32" t="n">
        <x:v>8</x:v>
      </x:c>
      <x:c r="F8" s="33" t="n">
        <x:f>SUM(B8:E8)</x:f>
        <x:v>19.283</x:v>
      </x:c>
    </x:row>
    <x:row r="9">
      <x:c r="A9" t="str">
        <x:v>毛利率</x:v>
      </x:c>
      <x:c r="B9" s="36" t="n">
        <x:v>0.298</x:v>
      </x:c>
      <x:c r="C9" s="36" t="n">
        <x:v>0.509</x:v>
      </x:c>
      <x:c r="D9" s="36" t="n">
        <x:v>0.784</x:v>
      </x:c>
      <x:c r="E9" s="36" t="n">
        <x:v>0.799</x:v>
      </x:c>
      <x:c r="F9" s="37" t="n">
        <x:f>F10/F8</x:f>
        <x:v>0.688912980345382</x:v>
      </x:c>
    </x:row>
    <x:row r="10">
      <x:c r="A10" t="str">
        <x:v>毛利润</x:v>
      </x:c>
      <x:c r="B10" s="32" t="n">
        <x:f>B8*B9</x:f>
        <x:v>0.687784</x:v>
      </x:c>
      <x:c r="C10" s="32" t="n">
        <x:f>C8*C9</x:f>
        <x:v>1.539725</x:v>
      </x:c>
      <x:c r="D10" s="32" t="n">
        <x:f>D8*D9</x:f>
        <x:v>4.6648000000000005</x:v>
      </x:c>
      <x:c r="E10" s="32" t="n">
        <x:f>E8*E9</x:f>
        <x:v>6.392</x:v>
      </x:c>
      <x:c r="F10" s="33" t="n">
        <x:f>SUM(B10:E10)</x:f>
        <x:v>13.284309</x:v>
      </x:c>
    </x:row>
    <x:row r="11">
      <x:c r="A11" t="str">
        <x:v>营业费用</x:v>
      </x:c>
      <x:c r="B11" s="32" t="n">
        <x:v>0.511</x:v>
      </x:c>
      <x:c r="C11" s="32" t="n">
        <x:v>0.476</x:v>
      </x:c>
      <x:c r="D11" s="32" t="n">
        <x:v>0.551</x:v>
      </x:c>
      <x:c r="E11" s="32" t="n">
        <x:v>0.541</x:v>
      </x:c>
      <x:c r="F11" s="33" t="n">
        <x:f>SUM(B11:E11)</x:f>
        <x:v>2.079</x:v>
      </x:c>
    </x:row>
    <x:row r="12">
      <x:c r="A12" t="str">
        <x:v>营业利润</x:v>
      </x:c>
      <x:c r="B12" s="32" t="n">
        <x:f>B10-B11</x:f>
        <x:v>0.17678399999999994</x:v>
      </x:c>
      <x:c r="C12" s="32" t="n">
        <x:f>C10-C11</x:f>
        <x:v>1.063725</x:v>
      </x:c>
      <x:c r="D12" s="32" t="n">
        <x:f>D10-D11</x:f>
        <x:v>4.1138</x:v>
      </x:c>
      <x:c r="E12" s="32" t="n">
        <x:f>E10-E11</x:f>
        <x:v>5.851</x:v>
      </x:c>
      <x:c r="F12" s="33" t="n">
        <x:f>SUM(B12:E12)</x:f>
        <x:v>11.205309</x:v>
      </x:c>
    </x:row>
    <x:row r="13">
      <x:c r="A13" t="str">
        <x:v>净利润</x:v>
      </x:c>
      <x:c r="B13" s="32" t="n">
        <x:v>0.112</x:v>
      </x:c>
      <x:c r="C13" s="32" t="n">
        <x:v>0.803</x:v>
      </x:c>
      <x:c r="D13" s="32" t="n">
        <x:v>3.615</x:v>
      </x:c>
      <x:c r="E13" s="32" t="n">
        <x:v>5.048</x:v>
      </x:c>
      <x:c r="F13" s="33" t="n">
        <x:f>SUM(B13:E13)</x:f>
        <x:v>9.578</x:v>
      </x:c>
    </x:row>
    <x:row r="14">
      <x:c r="A14" t="str">
        <x:v>稀释股数（百万）</x:v>
      </x:c>
      <x:c r="B14" s="40" t="n">
        <x:v>149</x:v>
      </x:c>
      <x:c r="C14" s="40" t="n">
        <x:v>156</x:v>
      </x:c>
      <x:c r="D14" s="40" t="n">
        <x:v>157</x:v>
      </x:c>
      <x:c r="E14" s="40" t="n">
        <x:v>158</x:v>
      </x:c>
      <x:c r="F14" s="41" t="n">
        <x:f>AVERAGE(B14:E14)</x:f>
        <x:v>155</x:v>
      </x:c>
    </x:row>
    <x:row r="15">
      <x:c r="A15" t="str">
        <x:v>EPS</x:v>
      </x:c>
      <x:c r="B15" s="44" t="n">
        <x:v>0.75</x:v>
      </x:c>
      <x:c r="C15" s="44" t="n">
        <x:v>5.15</x:v>
      </x:c>
      <x:c r="D15" s="44" t="n">
        <x:v>23.03</x:v>
      </x:c>
      <x:c r="E15" s="44" t="n">
        <x:f>E13*1000/E14</x:f>
        <x:v>31.949367088607595</x:v>
      </x:c>
      <x:c r="F15" s="45" t="n">
        <x:f>F13*1000/F14</x:f>
        <x:v>61.79354838709678</x:v>
      </x:c>
    </x:row>
    <x:row r="18" ht="21" customHeight="1">
      <x:c r="A18" s="50" t="str">
        <x:v>当前资产负债与合同锚</x:v>
      </x:c>
      <x:c r="B18" s="50" t="str">
        <x:v>当前资产负债与合同锚</x:v>
      </x:c>
      <x:c r="C18" s="50" t="str">
        <x:v>当前资产负债与合同锚</x:v>
      </x:c>
      <x:c r="D18" s="50" t="str">
        <x:v>当前资产负债与合同锚</x:v>
      </x:c>
      <x:c r="E18" s="50" t="str">
        <x:v>当前资产负债与合同锚</x:v>
      </x:c>
      <x:c r="F18" s="50" t="str">
        <x:v>当前资产负债与合同锚</x:v>
      </x:c>
      <x:c r="G18" s="50" t="str">
        <x:v>当前资产负债与合同锚</x:v>
      </x:c>
      <x:c r="H18" s="50" t="str">
        <x:v>当前资产负债与合同锚</x:v>
      </x:c>
      <x:c r="I18" s="50" t="str">
        <x:v>当前资产负债与合同锚</x:v>
      </x:c>
      <x:c r="J18" s="50" t="str">
        <x:v>当前资产负债与合同锚</x:v>
      </x:c>
    </x:row>
    <x:row r="19" ht="28" customHeight="1">
      <x:c r="A19" s="20" t="str">
        <x:v>项目</x:v>
      </x:c>
      <x:c r="B19" s="20" t="str">
        <x:v>数值</x:v>
      </x:c>
      <x:c r="C19" s="20" t="str">
        <x:v>单位</x:v>
      </x:c>
      <x:c r="D19" s="20" t="str">
        <x:v>证据/口径</x:v>
      </x:c>
      <x:c r="E19" s="20" t="str">
        <x:v>模型处理</x:v>
      </x:c>
    </x:row>
    <x:row r="20" ht="39" customHeight="1">
      <x:c r="A20" s="26" t="str">
        <x:v>Q3现金</x:v>
      </x:c>
      <x:c r="B20" s="54" t="n">
        <x:v>3.735</x:v>
      </x:c>
      <x:c r="C20" s="26" t="str">
        <x:v>十亿美元</x:v>
      </x:c>
      <x:c r="D20" s="26" t="str">
        <x:v>2026-04-03 10-Q</x:v>
      </x:c>
      <x:c r="E20" s="26" t="str">
        <x:v>事实</x:v>
      </x:c>
    </x:row>
    <x:row r="21" ht="39" customHeight="1">
      <x:c r="A21" s="26" t="str">
        <x:v>Nanya期后投资</x:v>
      </x:c>
      <x:c r="B21" s="54" t="n">
        <x:v>0.972</x:v>
      </x:c>
      <x:c r="C21" s="26" t="str">
        <x:v>十亿美元</x:v>
      </x:c>
      <x:c r="D21" s="26" t="str">
        <x:v>2026-04-08支付</x:v>
      </x:c>
      <x:c r="E21" s="26" t="str">
        <x:v>从当前净现金扣除</x:v>
      </x:c>
    </x:row>
    <x:row r="22" ht="39" customHeight="1">
      <x:c r="A22" s="26" t="str">
        <x:v>当前pro forma净现金</x:v>
      </x:c>
      <x:c r="B22" s="54" t="n">
        <x:f>B20-B21</x:f>
        <x:v>2.763</x:v>
      </x:c>
      <x:c r="C22" s="26" t="str">
        <x:v>十亿美元</x:v>
      </x:c>
      <x:c r="D22" s="26" t="str">
        <x:v>Q3现金－Nanya</x:v>
      </x:c>
      <x:c r="E22" s="26" t="str">
        <x:v>不含Q4未披露现金生成</x:v>
      </x:c>
    </x:row>
    <x:row r="23" ht="39" customHeight="1">
      <x:c r="A23" s="26" t="str">
        <x:v>RPO</x:v>
      </x:c>
      <x:c r="B23" s="54" t="n">
        <x:v>41.6</x:v>
      </x:c>
      <x:c r="C23" s="26" t="str">
        <x:v>十亿美元</x:v>
      </x:c>
      <x:c r="D23" s="26" t="str">
        <x:v>约15%未来12月确认</x:v>
      </x:c>
      <x:c r="E23" s="26" t="str">
        <x:v>可见性，不锁价</x:v>
      </x:c>
    </x:row>
    <x:row r="24" ht="39" customHeight="1">
      <x:c r="A24" s="26" t="str">
        <x:v>未来12月RPO确认额</x:v>
      </x:c>
      <x:c r="B24" s="54" t="n">
        <x:f>B23*15%</x:f>
        <x:v>6.24</x:v>
      </x:c>
      <x:c r="C24" s="26" t="str">
        <x:v>十亿美元</x:v>
      </x:c>
      <x:c r="D24" s="26" t="str">
        <x:v>RPO×15%</x:v>
      </x:c>
      <x:c r="E24" s="26" t="str">
        <x:v>不是新增收入</x:v>
      </x:c>
    </x:row>
    <x:row r="25" ht="39" customHeight="1">
      <x:c r="A25" s="26" t="str">
        <x:v>合同负债</x:v>
      </x:c>
      <x:c r="B25" s="54" t="n">
        <x:v>0.511</x:v>
      </x:c>
      <x:c r="C25" s="26" t="str">
        <x:v>十亿美元</x:v>
      </x:c>
      <x:c r="D25" s="26" t="str">
        <x:v>客户预付款</x:v>
      </x:c>
      <x:c r="E25" s="26" t="str">
        <x:v>营运资金/现金</x:v>
      </x:c>
    </x:row>
    <x:row r="26" ht="39" customHeight="1">
      <x:c r="A26" s="26" t="str">
        <x:v>Flash Ventures承诺</x:v>
      </x:c>
      <x:c r="B26" s="54" t="n">
        <x:v>6.543</x:v>
      </x:c>
      <x:c r="C26" s="26" t="str">
        <x:v>十亿美元</x:v>
      </x:c>
      <x:c r="D26" s="26" t="str">
        <x:v>法定承诺表</x:v>
      </x:c>
      <x:c r="E26" s="26" t="str">
        <x:v>分年度资本风险</x:v>
      </x:c>
    </x:row>
    <x:row r="27" ht="39" customHeight="1">
      <x:c r="A27" s="26" t="str">
        <x:v>FV最大估计损失敞口</x:v>
      </x:c>
      <x:c r="B27" s="54" t="n">
        <x:v>2.967</x:v>
      </x:c>
      <x:c r="C27" s="26" t="str">
        <x:v>十亿美元</x:v>
      </x:c>
      <x:c r="D27" s="26" t="str">
        <x:v>notes/equity/guarantee/inventory</x:v>
      </x:c>
      <x:c r="E27" s="26" t="str">
        <x:v>风险项</x:v>
      </x:c>
    </x:row>
  </x:sheetData>
  <x:mergeCells>
    <x:mergeCell ref="A1:J1"/>
    <x:mergeCell ref="A2:J2"/>
    <x:mergeCell ref="A18:J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FY2027季度模型：bit × ASP × 有效成本</x:v>
      </x:c>
      <x:c r="B1" s="4" t="str">
        <x:v>FY2027季度模型：bit × ASP × 有效成本</x:v>
      </x:c>
      <x:c r="C1" s="4" t="str">
        <x:v>FY2027季度模型：bit × ASP × 有效成本</x:v>
      </x:c>
      <x:c r="D1" s="4" t="str">
        <x:v>FY2027季度模型：bit × ASP × 有效成本</x:v>
      </x:c>
      <x:c r="E1" s="4" t="str">
        <x:v>FY2027季度模型：bit × ASP × 有效成本</x:v>
      </x:c>
      <x:c r="F1" s="4" t="str">
        <x:v>FY2027季度模型：bit × ASP × 有效成本</x:v>
      </x:c>
      <x:c r="G1" s="4" t="str">
        <x:v>FY2027季度模型：bit × ASP × 有效成本</x:v>
      </x:c>
      <x:c r="H1" s="4" t="str">
        <x:v>FY2027季度模型：bit × ASP × 有效成本</x:v>
      </x:c>
    </x:row>
    <x:row r="2" ht="35" customHeight="1">
      <x:c r="A2" s="11" t="str">
        <x:v>新增渠道sell-in/sell-through修正：Edge与Consumer在FY27下半年允许bit sell-in转负，不用AI需求覆盖传统渠道库存。</x:v>
      </x:c>
      <x:c r="B2" s="11" t="str">
        <x:v>新增渠道sell-in/sell-through修正：Edge与Consumer在FY27下半年允许bit sell-in转负，不用AI需求覆盖传统渠道库存。</x:v>
      </x:c>
      <x:c r="C2" s="11" t="str">
        <x:v>新增渠道sell-in/sell-through修正：Edge与Consumer在FY27下半年允许bit sell-in转负，不用AI需求覆盖传统渠道库存。</x:v>
      </x:c>
      <x:c r="D2" s="11" t="str">
        <x:v>新增渠道sell-in/sell-through修正：Edge与Consumer在FY27下半年允许bit sell-in转负，不用AI需求覆盖传统渠道库存。</x:v>
      </x:c>
      <x:c r="E2" s="11" t="str">
        <x:v>新增渠道sell-in/sell-through修正：Edge与Consumer在FY27下半年允许bit sell-in转负，不用AI需求覆盖传统渠道库存。</x:v>
      </x:c>
      <x:c r="F2" s="11" t="str">
        <x:v>新增渠道sell-in/sell-through修正：Edge与Consumer在FY27下半年允许bit sell-in转负，不用AI需求覆盖传统渠道库存。</x:v>
      </x:c>
      <x:c r="G2" s="11" t="str">
        <x:v>新增渠道sell-in/sell-through修正：Edge与Consumer在FY27下半年允许bit sell-in转负，不用AI需求覆盖传统渠道库存。</x:v>
      </x:c>
      <x:c r="H2" s="11" t="str">
        <x:v>新增渠道sell-in/sell-through修正：Edge与Consumer在FY27下半年允许bit sell-in转负，不用AI需求覆盖传统渠道库存。</x:v>
      </x:c>
    </x:row>
    <x:row r="4" ht="28" customHeight="1">
      <x:c r="A4" t="str">
        <x:v>十亿美元</x:v>
      </x:c>
      <x:c r="B4" s="20" t="str">
        <x:v>Q4 FY26E</x:v>
      </x:c>
      <x:c r="C4" s="20" t="str">
        <x:v>Q1 FY27E</x:v>
      </x:c>
      <x:c r="D4" s="20" t="str">
        <x:v>Q2 FY27E</x:v>
      </x:c>
      <x:c r="E4" s="20" t="str">
        <x:v>Q3 FY27E</x:v>
      </x:c>
      <x:c r="F4" s="20" t="str">
        <x:v>Q4 FY27E</x:v>
      </x:c>
    </x:row>
    <x:row r="6" ht="21" customHeight="1">
      <x:c r="A6" s="50" t="str">
        <x:v>Datacenter</x:v>
      </x:c>
      <x:c r="B6" s="50" t="str">
        <x:v>Datacenter</x:v>
      </x:c>
      <x:c r="C6" s="50" t="str">
        <x:v>Datacenter</x:v>
      </x:c>
      <x:c r="D6" s="50" t="str">
        <x:v>Datacenter</x:v>
      </x:c>
      <x:c r="E6" s="50" t="str">
        <x:v>Datacenter</x:v>
      </x:c>
      <x:c r="F6" s="50" t="str">
        <x:v>Datacenter</x:v>
      </x:c>
    </x:row>
    <x:row r="7">
      <x:c r="A7" t="str">
        <x:v>bit出货环比</x:v>
      </x:c>
      <x:c r="B7" s="37" t="n">
        <x:v>0</x:v>
      </x:c>
      <x:c r="C7" s="36" t="n">
        <x:v>0.12</x:v>
      </x:c>
      <x:c r="D7" s="36" t="n">
        <x:v>0.1</x:v>
      </x:c>
      <x:c r="E7" s="36" t="n">
        <x:v>0.1</x:v>
      </x:c>
      <x:c r="F7" s="36" t="n">
        <x:v>0.08</x:v>
      </x:c>
    </x:row>
    <x:row r="8">
      <x:c r="A8" t="str">
        <x:v>ASP/GB环比</x:v>
      </x:c>
      <x:c r="B8" s="37" t="n">
        <x:v>0</x:v>
      </x:c>
      <x:c r="C8" s="36" t="n">
        <x:v>0.02</x:v>
      </x:c>
      <x:c r="D8" s="36" t="n">
        <x:v>0</x:v>
      </x:c>
      <x:c r="E8" s="36" t="n">
        <x:v>-0.08</x:v>
      </x:c>
      <x:c r="F8" s="36" t="n">
        <x:v>-0.1</x:v>
      </x:c>
    </x:row>
    <x:row r="9">
      <x:c r="A9" t="str">
        <x:v>有效成本/bit环比</x:v>
      </x:c>
      <x:c r="B9" s="37" t="n">
        <x:v>0</x:v>
      </x:c>
      <x:c r="C9" s="36" t="n">
        <x:v>-0.02</x:v>
      </x:c>
      <x:c r="D9" s="36" t="n">
        <x:v>-0.02</x:v>
      </x:c>
      <x:c r="E9" s="36" t="n">
        <x:v>-0.02</x:v>
      </x:c>
      <x:c r="F9" s="36" t="n">
        <x:v>-0.02</x:v>
      </x:c>
    </x:row>
    <x:row r="10">
      <x:c r="A10" t="str">
        <x:v>bit指数</x:v>
      </x:c>
      <x:c r="B10" s="56" t="n">
        <x:v>1</x:v>
      </x:c>
      <x:c r="C10" s="56" t="n">
        <x:f>B10*(1+C7)</x:f>
        <x:v>1.12</x:v>
      </x:c>
      <x:c r="D10" s="56" t="n">
        <x:f>C10*(1+D7)</x:f>
        <x:v>1.2320000000000002</x:v>
      </x:c>
      <x:c r="E10" s="56" t="n">
        <x:f>D10*(1+E7)</x:f>
        <x:v>1.3552000000000004</x:v>
      </x:c>
      <x:c r="F10" s="56" t="n">
        <x:f>E10*(1+F7)</x:f>
        <x:v>1.4636160000000005</x:v>
      </x:c>
    </x:row>
    <x:row r="11">
      <x:c r="A11" t="str">
        <x:v>ASP指数</x:v>
      </x:c>
      <x:c r="B11" s="56" t="n">
        <x:v>1</x:v>
      </x:c>
      <x:c r="C11" s="56" t="n">
        <x:f>B11*(1+C8)</x:f>
        <x:v>1.02</x:v>
      </x:c>
      <x:c r="D11" s="56" t="n">
        <x:f>C11*(1+D8)</x:f>
        <x:v>1.02</x:v>
      </x:c>
      <x:c r="E11" s="56" t="n">
        <x:f>D11*(1+E8)</x:f>
        <x:v>0.9384</x:v>
      </x:c>
      <x:c r="F11" s="56" t="n">
        <x:f>E11*(1+F8)</x:f>
        <x:v>0.84456</x:v>
      </x:c>
    </x:row>
    <x:row r="12">
      <x:c r="A12" t="str">
        <x:v>成本指数</x:v>
      </x:c>
      <x:c r="B12" s="56" t="n">
        <x:v>1</x:v>
      </x:c>
      <x:c r="C12" s="56" t="n">
        <x:f>B12*(1+C9)</x:f>
        <x:v>0.98</x:v>
      </x:c>
      <x:c r="D12" s="56" t="n">
        <x:f>C12*(1+D9)</x:f>
        <x:v>0.9603999999999999</x:v>
      </x:c>
      <x:c r="E12" s="56" t="n">
        <x:f>D12*(1+E9)</x:f>
        <x:v>0.9411919999999999</x:v>
      </x:c>
      <x:c r="F12" s="56" t="n">
        <x:f>E12*(1+F9)</x:f>
        <x:v>0.9223681599999999</x:v>
      </x:c>
    </x:row>
    <x:row r="13">
      <x:c r="A13" t="str">
        <x:v>收入</x:v>
      </x:c>
      <x:c r="B13" s="33" t="n">
        <x:v>2.4</x:v>
      </x:c>
      <x:c r="C13" s="33" t="n">
        <x:f>$B$13*C10*C11</x:f>
        <x:v>2.74176</x:v>
      </x:c>
      <x:c r="D13" s="33" t="n">
        <x:f>$B$13*D10*D11</x:f>
        <x:v>3.0159360000000004</x:v>
      </x:c>
      <x:c r="E13" s="33" t="n">
        <x:f>$B$13*E10*E11</x:f>
        <x:v>3.0521272320000006</x:v>
      </x:c>
      <x:c r="F13" s="33" t="n">
        <x:f>$B$13*F10*F11</x:f>
        <x:v>2.966667669504001</x:v>
      </x:c>
    </x:row>
    <x:row r="14">
      <x:c r="A14" t="str">
        <x:v>营业成本</x:v>
      </x:c>
      <x:c r="B14" s="33" t="n">
        <x:v>0.288</x:v>
      </x:c>
      <x:c r="C14" s="33" t="n">
        <x:f>$B$14*C10*C12</x:f>
        <x:v>0.3161088</x:v>
      </x:c>
      <x:c r="D14" s="33" t="n">
        <x:f>$B$14*D10*D12</x:f>
        <x:v>0.3407652864</x:v>
      </x:c>
      <x:c r="E14" s="33" t="n">
        <x:f>$B$14*E10*E12</x:f>
        <x:v>0.3673449787392</x:v>
      </x:c>
      <x:c r="F14" s="33" t="n">
        <x:f>$B$14*F10*F12</x:f>
        <x:v>0.3887979254975693</x:v>
      </x:c>
    </x:row>
    <x:row r="15">
      <x:c r="A15" t="str">
        <x:v>毛利润</x:v>
      </x:c>
      <x:c r="B15" s="33" t="n">
        <x:f>B13-B14</x:f>
        <x:v>2.112</x:v>
      </x:c>
      <x:c r="C15" s="33" t="n">
        <x:f>C13-C14</x:f>
        <x:v>2.4256512000000003</x:v>
      </x:c>
      <x:c r="D15" s="33" t="n">
        <x:f>D13-D14</x:f>
        <x:v>2.6751707136000005</x:v>
      </x:c>
      <x:c r="E15" s="33" t="n">
        <x:f>E13-E14</x:f>
        <x:v>2.6847822532608006</x:v>
      </x:c>
      <x:c r="F15" s="33" t="n">
        <x:f>F13-F14</x:f>
        <x:v>2.5778697440064313</x:v>
      </x:c>
    </x:row>
    <x:row r="16">
      <x:c r="A16" t="str">
        <x:v>毛利率</x:v>
      </x:c>
      <x:c r="B16" s="37" t="n">
        <x:f>B15/B13</x:f>
        <x:v>0.8800000000000001</x:v>
      </x:c>
      <x:c r="C16" s="37" t="n">
        <x:f>C15/C13</x:f>
        <x:v>0.8847058823529412</x:v>
      </x:c>
      <x:c r="D16" s="37" t="n">
        <x:f>D15/D13</x:f>
        <x:v>0.8870117647058824</x:v>
      </x:c>
      <x:c r="E16" s="37" t="n">
        <x:f>E15/E13</x:f>
        <x:v>0.8796429667519182</x:v>
      </x:c>
      <x:c r="F16" s="37" t="n">
        <x:f>F15/F13</x:f>
        <x:v>0.8689445637965331</x:v>
      </x:c>
    </x:row>
    <x:row r="17">
      <x:c r="A17" t="str">
        <x:v>说明</x:v>
      </x:c>
      <x:c r="B17" s="26" t="str">
        <x:v>Q4分市场收入/GM为分析师校准</x:v>
      </x:c>
      <x:c r="C17" s="26" t="str">
        <x:v>E3：渠道/价格/成本路径</x:v>
      </x:c>
      <x:c r="D17" s="26" t="str">
        <x:v>E3：渠道/价格/成本路径</x:v>
      </x:c>
      <x:c r="E17" s="26" t="str">
        <x:v>E3：渠道/价格/成本路径</x:v>
      </x:c>
      <x:c r="F17" s="26" t="str">
        <x:v>E3：渠道/价格/成本路径</x:v>
      </x:c>
    </x:row>
    <x:row r="21" ht="21" customHeight="1">
      <x:c r="A21" s="50" t="str">
        <x:v>Edge</x:v>
      </x:c>
      <x:c r="B21" s="50" t="str">
        <x:v>Edge</x:v>
      </x:c>
      <x:c r="C21" s="50" t="str">
        <x:v>Edge</x:v>
      </x:c>
      <x:c r="D21" s="50" t="str">
        <x:v>Edge</x:v>
      </x:c>
      <x:c r="E21" s="50" t="str">
        <x:v>Edge</x:v>
      </x:c>
      <x:c r="F21" s="50" t="str">
        <x:v>Edge</x:v>
      </x:c>
    </x:row>
    <x:row r="22">
      <x:c r="A22" t="str">
        <x:v>bit出货环比</x:v>
      </x:c>
      <x:c r="B22" s="37" t="n">
        <x:v>0</x:v>
      </x:c>
      <x:c r="C22" s="36" t="n">
        <x:v>0.02</x:v>
      </x:c>
      <x:c r="D22" s="36" t="n">
        <x:v>0.01</x:v>
      </x:c>
      <x:c r="E22" s="36" t="n">
        <x:v>-0.02</x:v>
      </x:c>
      <x:c r="F22" s="36" t="n">
        <x:v>0</x:v>
      </x:c>
    </x:row>
    <x:row r="23">
      <x:c r="A23" t="str">
        <x:v>ASP/GB环比</x:v>
      </x:c>
      <x:c r="B23" s="37" t="n">
        <x:v>0</x:v>
      </x:c>
      <x:c r="C23" s="36" t="n">
        <x:v>0</x:v>
      </x:c>
      <x:c r="D23" s="36" t="n">
        <x:v>-0.05</x:v>
      </x:c>
      <x:c r="E23" s="36" t="n">
        <x:v>-0.12</x:v>
      </x:c>
      <x:c r="F23" s="36" t="n">
        <x:v>-0.15</x:v>
      </x:c>
    </x:row>
    <x:row r="24">
      <x:c r="A24" t="str">
        <x:v>有效成本/bit环比</x:v>
      </x:c>
      <x:c r="B24" s="37" t="n">
        <x:v>0</x:v>
      </x:c>
      <x:c r="C24" s="36" t="n">
        <x:v>-0.02</x:v>
      </x:c>
      <x:c r="D24" s="36" t="n">
        <x:v>-0.02</x:v>
      </x:c>
      <x:c r="E24" s="36" t="n">
        <x:v>-0.02</x:v>
      </x:c>
      <x:c r="F24" s="36" t="n">
        <x:v>-0.02</x:v>
      </x:c>
    </x:row>
    <x:row r="25">
      <x:c r="A25" t="str">
        <x:v>bit指数</x:v>
      </x:c>
      <x:c r="B25" s="56" t="n">
        <x:v>1</x:v>
      </x:c>
      <x:c r="C25" s="56" t="n">
        <x:f>B25*(1+C22)</x:f>
        <x:v>1.02</x:v>
      </x:c>
      <x:c r="D25" s="56" t="n">
        <x:f>C25*(1+D22)</x:f>
        <x:v>1.0302</x:v>
      </x:c>
      <x:c r="E25" s="56" t="n">
        <x:f>D25*(1+E22)</x:f>
        <x:v>1.009596</x:v>
      </x:c>
      <x:c r="F25" s="56" t="n">
        <x:f>E25*(1+F22)</x:f>
        <x:v>1.009596</x:v>
      </x:c>
    </x:row>
    <x:row r="26">
      <x:c r="A26" t="str">
        <x:v>ASP指数</x:v>
      </x:c>
      <x:c r="B26" s="56" t="n">
        <x:v>1</x:v>
      </x:c>
      <x:c r="C26" s="56" t="n">
        <x:f>B26*(1+C23)</x:f>
        <x:v>1</x:v>
      </x:c>
      <x:c r="D26" s="56" t="n">
        <x:f>C26*(1+D23)</x:f>
        <x:v>0.95</x:v>
      </x:c>
      <x:c r="E26" s="56" t="n">
        <x:f>D26*(1+E23)</x:f>
        <x:v>0.836</x:v>
      </x:c>
      <x:c r="F26" s="56" t="n">
        <x:f>E26*(1+F23)</x:f>
        <x:v>0.7105999999999999</x:v>
      </x:c>
    </x:row>
    <x:row r="27">
      <x:c r="A27" t="str">
        <x:v>成本指数</x:v>
      </x:c>
      <x:c r="B27" s="56" t="n">
        <x:v>1</x:v>
      </x:c>
      <x:c r="C27" s="56" t="n">
        <x:f>B27*(1+C24)</x:f>
        <x:v>0.98</x:v>
      </x:c>
      <x:c r="D27" s="56" t="n">
        <x:f>C27*(1+D24)</x:f>
        <x:v>0.9603999999999999</x:v>
      </x:c>
      <x:c r="E27" s="56" t="n">
        <x:f>D27*(1+E24)</x:f>
        <x:v>0.9411919999999999</x:v>
      </x:c>
      <x:c r="F27" s="56" t="n">
        <x:f>E27*(1+F24)</x:f>
        <x:v>0.9223681599999999</x:v>
      </x:c>
    </x:row>
    <x:row r="28">
      <x:c r="A28" t="str">
        <x:v>收入</x:v>
      </x:c>
      <x:c r="B28" s="33" t="n">
        <x:v>4.6</x:v>
      </x:c>
      <x:c r="C28" s="33" t="n">
        <x:f>$B$28*C25*C26</x:f>
        <x:v>4.691999999999999</x:v>
      </x:c>
      <x:c r="D28" s="33" t="n">
        <x:f>$B$28*D25*D26</x:f>
        <x:v>4.501973999999999</x:v>
      </x:c>
      <x:c r="E28" s="33" t="n">
        <x:f>$B$28*E25*E26</x:f>
        <x:v>3.8825023775999994</x:v>
      </x:c>
      <x:c r="F28" s="33" t="n">
        <x:f>$B$28*F25*F26</x:f>
        <x:v>3.300127020959999</x:v>
      </x:c>
    </x:row>
    <x:row r="29">
      <x:c r="A29" t="str">
        <x:v>营业成本</x:v>
      </x:c>
      <x:c r="B29" s="33" t="n">
        <x:v>0.8739999999999997</x:v>
      </x:c>
      <x:c r="C29" s="33" t="n">
        <x:f>$B$29*C25*C27</x:f>
        <x:v>0.8736503999999997</x:v>
      </x:c>
      <x:c r="D29" s="33" t="n">
        <x:f>$B$29*D25*D27</x:f>
        <x:v>0.8647391659199996</x:v>
      </x:c>
      <x:c r="E29" s="33" t="n">
        <x:f>$B$29*E25*E27</x:f>
        <x:v>0.8304954949495675</x:v>
      </x:c>
      <x:c r="F29" s="33" t="n">
        <x:f>$B$29*F25*F27</x:f>
        <x:v>0.8138855850505762</x:v>
      </x:c>
    </x:row>
    <x:row r="30">
      <x:c r="A30" t="str">
        <x:v>毛利润</x:v>
      </x:c>
      <x:c r="B30" s="33" t="n">
        <x:f>B28-B29</x:f>
        <x:v>3.726</x:v>
      </x:c>
      <x:c r="C30" s="33" t="n">
        <x:f>C28-C29</x:f>
        <x:v>3.8183495999999995</x:v>
      </x:c>
      <x:c r="D30" s="33" t="n">
        <x:f>D28-D29</x:f>
        <x:v>3.637234834079999</x:v>
      </x:c>
      <x:c r="E30" s="33" t="n">
        <x:f>E28-E29</x:f>
        <x:v>3.052006882650432</x:v>
      </x:c>
      <x:c r="F30" s="33" t="n">
        <x:f>F28-F29</x:f>
        <x:v>2.486241435909423</x:v>
      </x:c>
    </x:row>
    <x:row r="31">
      <x:c r="A31" t="str">
        <x:v>毛利率</x:v>
      </x:c>
      <x:c r="B31" s="37" t="n">
        <x:f>B30/B28</x:f>
        <x:v>0.81</x:v>
      </x:c>
      <x:c r="C31" s="37" t="n">
        <x:f>C30/C28</x:f>
        <x:v>0.8138</x:v>
      </x:c>
      <x:c r="D31" s="37" t="n">
        <x:f>D30/D28</x:f>
        <x:v>0.80792</x:v>
      </x:c>
      <x:c r="E31" s="37" t="n">
        <x:f>E30/E28</x:f>
        <x:v>0.7860927272727274</x:v>
      </x:c>
      <x:c r="F31" s="37" t="n">
        <x:f>F30/F28</x:f>
        <x:v>0.7533774973262033</x:v>
      </x:c>
    </x:row>
    <x:row r="32">
      <x:c r="A32" t="str">
        <x:v>说明</x:v>
      </x:c>
      <x:c r="B32" s="26" t="str">
        <x:v>Q4分市场收入/GM为分析师校准</x:v>
      </x:c>
      <x:c r="C32" s="26" t="str">
        <x:v>E3：渠道/价格/成本路径</x:v>
      </x:c>
      <x:c r="D32" s="26" t="str">
        <x:v>E3：渠道/价格/成本路径</x:v>
      </x:c>
      <x:c r="E32" s="26" t="str">
        <x:v>E3：渠道/价格/成本路径</x:v>
      </x:c>
      <x:c r="F32" s="26" t="str">
        <x:v>E3：渠道/价格/成本路径</x:v>
      </x:c>
    </x:row>
    <x:row r="36" ht="21" customHeight="1">
      <x:c r="A36" s="50" t="str">
        <x:v>Consumer</x:v>
      </x:c>
      <x:c r="B36" s="50" t="str">
        <x:v>Consumer</x:v>
      </x:c>
      <x:c r="C36" s="50" t="str">
        <x:v>Consumer</x:v>
      </x:c>
      <x:c r="D36" s="50" t="str">
        <x:v>Consumer</x:v>
      </x:c>
      <x:c r="E36" s="50" t="str">
        <x:v>Consumer</x:v>
      </x:c>
      <x:c r="F36" s="50" t="str">
        <x:v>Consumer</x:v>
      </x:c>
    </x:row>
    <x:row r="37">
      <x:c r="A37" t="str">
        <x:v>bit出货环比</x:v>
      </x:c>
      <x:c r="B37" s="37" t="n">
        <x:v>0</x:v>
      </x:c>
      <x:c r="C37" s="36" t="n">
        <x:v>0</x:v>
      </x:c>
      <x:c r="D37" s="36" t="n">
        <x:v>-0.02</x:v>
      </x:c>
      <x:c r="E37" s="36" t="n">
        <x:v>-0.03</x:v>
      </x:c>
      <x:c r="F37" s="36" t="n">
        <x:v>0</x:v>
      </x:c>
    </x:row>
    <x:row r="38">
      <x:c r="A38" t="str">
        <x:v>ASP/GB环比</x:v>
      </x:c>
      <x:c r="B38" s="37" t="n">
        <x:v>0</x:v>
      </x:c>
      <x:c r="C38" s="36" t="n">
        <x:v>-0.02</x:v>
      </x:c>
      <x:c r="D38" s="36" t="n">
        <x:v>-0.06</x:v>
      </x:c>
      <x:c r="E38" s="36" t="n">
        <x:v>-0.1</x:v>
      </x:c>
      <x:c r="F38" s="36" t="n">
        <x:v>-0.12</x:v>
      </x:c>
    </x:row>
    <x:row r="39">
      <x:c r="A39" t="str">
        <x:v>有效成本/bit环比</x:v>
      </x:c>
      <x:c r="B39" s="37" t="n">
        <x:v>0</x:v>
      </x:c>
      <x:c r="C39" s="36" t="n">
        <x:v>-0.02</x:v>
      </x:c>
      <x:c r="D39" s="36" t="n">
        <x:v>-0.02</x:v>
      </x:c>
      <x:c r="E39" s="36" t="n">
        <x:v>-0.02</x:v>
      </x:c>
      <x:c r="F39" s="36" t="n">
        <x:v>-0.02</x:v>
      </x:c>
    </x:row>
    <x:row r="40">
      <x:c r="A40" t="str">
        <x:v>bit指数</x:v>
      </x:c>
      <x:c r="B40" s="56" t="n">
        <x:v>1</x:v>
      </x:c>
      <x:c r="C40" s="56" t="n">
        <x:f>B40*(1+C37)</x:f>
        <x:v>1</x:v>
      </x:c>
      <x:c r="D40" s="56" t="n">
        <x:f>C40*(1+D37)</x:f>
        <x:v>0.98</x:v>
      </x:c>
      <x:c r="E40" s="56" t="n">
        <x:f>D40*(1+E37)</x:f>
        <x:v>0.9506</x:v>
      </x:c>
      <x:c r="F40" s="56" t="n">
        <x:f>E40*(1+F37)</x:f>
        <x:v>0.9506</x:v>
      </x:c>
    </x:row>
    <x:row r="41">
      <x:c r="A41" t="str">
        <x:v>ASP指数</x:v>
      </x:c>
      <x:c r="B41" s="56" t="n">
        <x:v>1</x:v>
      </x:c>
      <x:c r="C41" s="56" t="n">
        <x:f>B41*(1+C38)</x:f>
        <x:v>0.98</x:v>
      </x:c>
      <x:c r="D41" s="56" t="n">
        <x:f>C41*(1+D38)</x:f>
        <x:v>0.9211999999999999</x:v>
      </x:c>
      <x:c r="E41" s="56" t="n">
        <x:f>D41*(1+E38)</x:f>
        <x:v>0.8290799999999999</x:v>
      </x:c>
      <x:c r="F41" s="56" t="n">
        <x:f>E41*(1+F38)</x:f>
        <x:v>0.7295904</x:v>
      </x:c>
    </x:row>
    <x:row r="42">
      <x:c r="A42" t="str">
        <x:v>成本指数</x:v>
      </x:c>
      <x:c r="B42" s="56" t="n">
        <x:v>1</x:v>
      </x:c>
      <x:c r="C42" s="56" t="n">
        <x:f>B42*(1+C39)</x:f>
        <x:v>0.98</x:v>
      </x:c>
      <x:c r="D42" s="56" t="n">
        <x:f>C42*(1+D39)</x:f>
        <x:v>0.9603999999999999</x:v>
      </x:c>
      <x:c r="E42" s="56" t="n">
        <x:f>D42*(1+E39)</x:f>
        <x:v>0.9411919999999999</x:v>
      </x:c>
      <x:c r="F42" s="56" t="n">
        <x:f>E42*(1+F39)</x:f>
        <x:v>0.9223681599999999</x:v>
      </x:c>
    </x:row>
    <x:row r="43">
      <x:c r="A43" t="str">
        <x:v>收入</x:v>
      </x:c>
      <x:c r="B43" s="33" t="n">
        <x:v>1</x:v>
      </x:c>
      <x:c r="C43" s="33" t="n">
        <x:f>$B$43*C40*C41</x:f>
        <x:v>0.98</x:v>
      </x:c>
      <x:c r="D43" s="33" t="n">
        <x:f>$B$43*D40*D41</x:f>
        <x:v>0.9027759999999999</x:v>
      </x:c>
      <x:c r="E43" s="33" t="n">
        <x:f>$B$43*E40*E41</x:f>
        <x:v>0.7881234479999999</x:v>
      </x:c>
      <x:c r="F43" s="33" t="n">
        <x:f>$B$43*F40*F41</x:f>
        <x:v>0.69354863424</x:v>
      </x:c>
    </x:row>
    <x:row r="44">
      <x:c r="A44" t="str">
        <x:v>营业成本</x:v>
      </x:c>
      <x:c r="B44" s="33" t="n">
        <x:v>0.44999999999999996</x:v>
      </x:c>
      <x:c r="C44" s="33" t="n">
        <x:f>$B$44*C40*C42</x:f>
        <x:v>0.44099999999999995</x:v>
      </x:c>
      <x:c r="D44" s="33" t="n">
        <x:f>$B$44*D40*D42</x:f>
        <x:v>0.4235363999999999</x:v>
      </x:c>
      <x:c r="E44" s="33" t="n">
        <x:f>$B$44*E40*E42</x:f>
        <x:v>0.40261370183999995</x:v>
      </x:c>
      <x:c r="F44" s="33" t="n">
        <x:f>$B$44*F40*F42</x:f>
        <x:v>0.3945614278031999</x:v>
      </x:c>
    </x:row>
    <x:row r="45">
      <x:c r="A45" t="str">
        <x:v>毛利润</x:v>
      </x:c>
      <x:c r="B45" s="33" t="n">
        <x:f>B43-B44</x:f>
        <x:v>0.55</x:v>
      </x:c>
      <x:c r="C45" s="33" t="n">
        <x:f>C43-C44</x:f>
        <x:v>0.539</x:v>
      </x:c>
      <x:c r="D45" s="33" t="n">
        <x:f>D43-D44</x:f>
        <x:v>0.4792396</x:v>
      </x:c>
      <x:c r="E45" s="33" t="n">
        <x:f>E43-E44</x:f>
        <x:v>0.38550974615999994</x:v>
      </x:c>
      <x:c r="F45" s="33" t="n">
        <x:f>F43-F44</x:f>
        <x:v>0.2989872064368001</x:v>
      </x:c>
    </x:row>
    <x:row r="46">
      <x:c r="A46" t="str">
        <x:v>毛利率</x:v>
      </x:c>
      <x:c r="B46" s="37" t="n">
        <x:f>B45/B43</x:f>
        <x:v>0.55</x:v>
      </x:c>
      <x:c r="C46" s="37" t="n">
        <x:f>C45/C43</x:f>
        <x:v>0.55</x:v>
      </x:c>
      <x:c r="D46" s="37" t="n">
        <x:f>D45/D43</x:f>
        <x:v>0.5308510638297873</x:v>
      </x:c>
      <x:c r="E46" s="37" t="n">
        <x:f>E45/E43</x:f>
        <x:v>0.48914893617021277</x:v>
      </x:c>
      <x:c r="F46" s="37" t="n">
        <x:f>F45/F43</x:f>
        <x:v>0.431097678916828</x:v>
      </x:c>
    </x:row>
    <x:row r="47">
      <x:c r="A47" t="str">
        <x:v>说明</x:v>
      </x:c>
      <x:c r="B47" s="26" t="str">
        <x:v>Q4分市场收入/GM为分析师校准</x:v>
      </x:c>
      <x:c r="C47" s="26" t="str">
        <x:v>E3：渠道/价格/成本路径</x:v>
      </x:c>
      <x:c r="D47" s="26" t="str">
        <x:v>E3：渠道/价格/成本路径</x:v>
      </x:c>
      <x:c r="E47" s="26" t="str">
        <x:v>E3：渠道/价格/成本路径</x:v>
      </x:c>
      <x:c r="F47" s="26" t="str">
        <x:v>E3：渠道/价格/成本路径</x:v>
      </x:c>
    </x:row>
    <x:row r="51" ht="21" customHeight="1">
      <x:c r="A51" s="50" t="str">
        <x:v>合并损益</x:v>
      </x:c>
      <x:c r="B51" s="50" t="str">
        <x:v>合并损益</x:v>
      </x:c>
      <x:c r="C51" s="50" t="str">
        <x:v>合并损益</x:v>
      </x:c>
      <x:c r="D51" s="50" t="str">
        <x:v>合并损益</x:v>
      </x:c>
      <x:c r="E51" s="50" t="str">
        <x:v>合并损益</x:v>
      </x:c>
      <x:c r="F51" s="50" t="str">
        <x:v>合并损益</x:v>
      </x:c>
    </x:row>
    <x:row r="52">
      <x:c r="A52" t="str">
        <x:v>营业收入</x:v>
      </x:c>
      <x:c r="B52" s="33" t="n">
        <x:f>B13+B28+B43</x:f>
        <x:v>8</x:v>
      </x:c>
      <x:c r="C52" s="33" t="n">
        <x:f>C13+C28+C43</x:f>
        <x:v>8.41376</x:v>
      </x:c>
      <x:c r="D52" s="33" t="n">
        <x:f>D13+D28+D43</x:f>
        <x:v>8.420685999999998</x:v>
      </x:c>
      <x:c r="E52" s="33" t="n">
        <x:f>E13+E28+E43</x:f>
        <x:v>7.7227530576</x:v>
      </x:c>
      <x:c r="F52" s="33" t="n">
        <x:f>F13+F28+F43</x:f>
        <x:v>6.960343324704</x:v>
      </x:c>
    </x:row>
    <x:row r="53">
      <x:c r="A53" t="str">
        <x:v>营业成本</x:v>
      </x:c>
      <x:c r="B53" s="33" t="n">
        <x:f>B14+B29+B44</x:f>
        <x:v>1.6119999999999997</x:v>
      </x:c>
      <x:c r="C53" s="33" t="n">
        <x:f>C14+C29+C44</x:f>
        <x:v>1.6307591999999995</x:v>
      </x:c>
      <x:c r="D53" s="33" t="n">
        <x:f>D14+D29+D44</x:f>
        <x:v>1.6290408523199995</x:v>
      </x:c>
      <x:c r="E53" s="33" t="n">
        <x:f>E14+E29+E44</x:f>
        <x:v>1.6004541755287676</x:v>
      </x:c>
      <x:c r="F53" s="33" t="n">
        <x:f>F14+F29+F44</x:f>
        <x:v>1.5972449383513454</x:v>
      </x:c>
    </x:row>
    <x:row r="54">
      <x:c r="A54" t="str">
        <x:v>毛利润</x:v>
      </x:c>
      <x:c r="B54" s="33" t="n">
        <x:f>B52-B53</x:f>
        <x:v>6.388</x:v>
      </x:c>
      <x:c r="C54" s="33" t="n">
        <x:f>C52-C53</x:f>
        <x:v>6.7830008</x:v>
      </x:c>
      <x:c r="D54" s="33" t="n">
        <x:f>D52-D53</x:f>
        <x:v>6.791645147679999</x:v>
      </x:c>
      <x:c r="E54" s="33" t="n">
        <x:f>E52-E53</x:f>
        <x:v>6.122298882071233</x:v>
      </x:c>
      <x:c r="F54" s="33" t="n">
        <x:f>F52-F53</x:f>
        <x:v>5.363098386352654</x:v>
      </x:c>
    </x:row>
    <x:row r="55">
      <x:c r="A55" t="str">
        <x:v>毛利率</x:v>
      </x:c>
      <x:c r="B55" s="37" t="n">
        <x:f>B54/B52</x:f>
        <x:v>0.7985</x:v>
      </x:c>
      <x:c r="C55" s="37" t="n">
        <x:f>C54/C52</x:f>
        <x:v>0.8061794964439204</x:v>
      </x:c>
      <x:c r="D55" s="37" t="n">
        <x:f>D54/D52</x:f>
        <x:v>0.8065429761518242</x:v>
      </x:c>
      <x:c r="E55" s="37" t="n">
        <x:f>E54/E52</x:f>
        <x:v>0.7927611871580236</x:v>
      </x:c>
      <x:c r="F55" s="37" t="n">
        <x:f>F54/F52</x:f>
        <x:v>0.7705221044654041</x:v>
      </x:c>
    </x:row>
    <x:row r="56">
      <x:c r="A56" t="str">
        <x:v>研发费用</x:v>
      </x:c>
      <x:c r="B56" s="33" t="n">
        <x:v>0.35</x:v>
      </x:c>
      <x:c r="C56" s="32" t="n">
        <x:v>0.375</x:v>
      </x:c>
      <x:c r="D56" s="32" t="n">
        <x:v>0.385</x:v>
      </x:c>
      <x:c r="E56" s="32" t="n">
        <x:v>0.39</x:v>
      </x:c>
      <x:c r="F56" s="32" t="n">
        <x:v>0.4</x:v>
      </x:c>
    </x:row>
    <x:row r="57">
      <x:c r="A57" t="str">
        <x:v>销售管理费用</x:v>
      </x:c>
      <x:c r="B57" s="33" t="n">
        <x:v>0.18</x:v>
      </x:c>
      <x:c r="C57" s="32" t="n">
        <x:v>0.195</x:v>
      </x:c>
      <x:c r="D57" s="32" t="n">
        <x:v>0.2</x:v>
      </x:c>
      <x:c r="E57" s="32" t="n">
        <x:v>0.2</x:v>
      </x:c>
      <x:c r="F57" s="32" t="n">
        <x:v>0.205</x:v>
      </x:c>
    </x:row>
    <x:row r="58">
      <x:c r="A58" t="str">
        <x:v>其他营业费用</x:v>
      </x:c>
      <x:c r="B58" s="33" t="n">
        <x:v>0.011</x:v>
      </x:c>
      <x:c r="C58" s="32" t="n">
        <x:v>0.01</x:v>
      </x:c>
      <x:c r="D58" s="32" t="n">
        <x:v>0.01</x:v>
      </x:c>
      <x:c r="E58" s="32" t="n">
        <x:v>0.015</x:v>
      </x:c>
      <x:c r="F58" s="32" t="n">
        <x:v>0.015</x:v>
      </x:c>
    </x:row>
    <x:row r="59">
      <x:c r="A59" t="str">
        <x:v>营业利润</x:v>
      </x:c>
      <x:c r="B59" s="33" t="n">
        <x:f>B54-B56-B57-B58</x:f>
        <x:v>5.847</x:v>
      </x:c>
      <x:c r="C59" s="33" t="n">
        <x:f>C54-C56-C57-C58</x:f>
        <x:v>6.2030008</x:v>
      </x:c>
      <x:c r="D59" s="33" t="n">
        <x:f>D54-D56-D57-D58</x:f>
        <x:v>6.196645147679999</x:v>
      </x:c>
      <x:c r="E59" s="33" t="n">
        <x:f>E54-E56-E57-E58</x:f>
        <x:v>5.517298882071233</x:v>
      </x:c>
      <x:c r="F59" s="33" t="n">
        <x:f>F54-F56-F57-F58</x:f>
        <x:v>4.743098386352654</x:v>
      </x:c>
    </x:row>
    <x:row r="60">
      <x:c r="A60" t="str">
        <x:v>其他收入</x:v>
      </x:c>
      <x:c r="B60" s="33" t="n">
        <x:v>0.022</x:v>
      </x:c>
      <x:c r="C60" s="32" t="n">
        <x:v>0.06</x:v>
      </x:c>
      <x:c r="D60" s="32" t="n">
        <x:v>0.06</x:v>
      </x:c>
      <x:c r="E60" s="32" t="n">
        <x:v>0.065</x:v>
      </x:c>
      <x:c r="F60" s="32" t="n">
        <x:v>0.065</x:v>
      </x:c>
    </x:row>
    <x:row r="61">
      <x:c r="A61" t="str">
        <x:v>税前利润</x:v>
      </x:c>
      <x:c r="B61" s="33" t="n">
        <x:f>B59+B60</x:f>
        <x:v>5.869000000000001</x:v>
      </x:c>
      <x:c r="C61" s="33" t="n">
        <x:f>C59+C60</x:f>
        <x:v>6.2630007999999995</x:v>
      </x:c>
      <x:c r="D61" s="33" t="n">
        <x:f>D59+D60</x:f>
        <x:v>6.256645147679999</x:v>
      </x:c>
      <x:c r="E61" s="33" t="n">
        <x:f>E59+E60</x:f>
        <x:v>5.582298882071234</x:v>
      </x:c>
      <x:c r="F61" s="33" t="n">
        <x:f>F59+F60</x:f>
        <x:v>4.808098386352654</x:v>
      </x:c>
    </x:row>
    <x:row r="62">
      <x:c r="A62" t="str">
        <x:v>税率</x:v>
      </x:c>
      <x:c r="B62" s="37" t="n">
        <x:v>0.15</x:v>
      </x:c>
      <x:c r="C62" s="36" t="n">
        <x:v>0.155</x:v>
      </x:c>
      <x:c r="D62" s="36" t="n">
        <x:v>0.155</x:v>
      </x:c>
      <x:c r="E62" s="36" t="n">
        <x:v>0.155</x:v>
      </x:c>
      <x:c r="F62" s="36" t="n">
        <x:v>0.155</x:v>
      </x:c>
    </x:row>
    <x:row r="63">
      <x:c r="A63" t="str">
        <x:v>所得税</x:v>
      </x:c>
      <x:c r="B63" s="33" t="n">
        <x:f>B61*B62</x:f>
        <x:v>0.8803500000000001</x:v>
      </x:c>
      <x:c r="C63" s="33" t="n">
        <x:f>C61*C62</x:f>
        <x:v>0.9707651239999999</x:v>
      </x:c>
      <x:c r="D63" s="33" t="n">
        <x:f>D61*D62</x:f>
        <x:v>0.9697799978903998</x:v>
      </x:c>
      <x:c r="E63" s="33" t="n">
        <x:f>E61*E62</x:f>
        <x:v>0.8652563267210412</x:v>
      </x:c>
      <x:c r="F63" s="33" t="n">
        <x:f>F61*F62</x:f>
        <x:v>0.7452552498846614</x:v>
      </x:c>
    </x:row>
    <x:row r="64">
      <x:c r="A64" t="str">
        <x:v>净利润</x:v>
      </x:c>
      <x:c r="B64" s="33" t="n">
        <x:f>B61-B63</x:f>
        <x:v>4.988650000000001</x:v>
      </x:c>
      <x:c r="C64" s="33" t="n">
        <x:f>C61-C63</x:f>
        <x:v>5.292235676</x:v>
      </x:c>
      <x:c r="D64" s="33" t="n">
        <x:f>D61-D63</x:f>
        <x:v>5.286865149789599</x:v>
      </x:c>
      <x:c r="E64" s="33" t="n">
        <x:f>E61-E63</x:f>
        <x:v>4.717042555350193</x:v>
      </x:c>
      <x:c r="F64" s="33" t="n">
        <x:f>F61-F63</x:f>
        <x:v>4.0628431364679924</x:v>
      </x:c>
    </x:row>
    <x:row r="65">
      <x:c r="A65" t="str">
        <x:v>EPS</x:v>
      </x:c>
      <x:c r="B65" s="45" t="n">
        <x:f>B64*1000/158</x:f>
        <x:v>31.573734177215194</x:v>
      </x:c>
      <x:c r="C65" s="45" t="n">
        <x:f>C64*1000/157</x:f>
        <x:v>33.708507490445854</x:v>
      </x:c>
      <x:c r="D65" s="45" t="n">
        <x:f>D64*1000/156.5</x:f>
        <x:v>33.7818859411476</x:v>
      </x:c>
      <x:c r="E65" s="45" t="n">
        <x:f>E64*1000/156</x:f>
        <x:v>30.23745227788585</x:v>
      </x:c>
      <x:c r="F65" s="45" t="n">
        <x:f>F64*1000/155.5</x:f>
        <x:v>26.12760859464947</x:v>
      </x:c>
    </x:row>
  </x:sheetData>
  <x:mergeCells>
    <x:mergeCell ref="A1:H1"/>
    <x:mergeCell ref="A2:H2"/>
    <x:mergeCell ref="A6:F6"/>
    <x:mergeCell ref="A21:F21"/>
    <x:mergeCell ref="A36:F36"/>
    <x:mergeCell ref="A51:F5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FY2028–FY2031驱动：周期正常化与有效成本</x:v>
      </x:c>
      <x:c r="B1" s="4" t="str">
        <x:v>FY2028–FY2031驱动：周期正常化与有效成本</x:v>
      </x:c>
      <x:c r="C1" s="4" t="str">
        <x:v>FY2028–FY2031驱动：周期正常化与有效成本</x:v>
      </x:c>
      <x:c r="D1" s="4" t="str">
        <x:v>FY2028–FY2031驱动：周期正常化与有效成本</x:v>
      </x:c>
      <x:c r="E1" s="4" t="str">
        <x:v>FY2028–FY2031驱动：周期正常化与有效成本</x:v>
      </x:c>
      <x:c r="F1" s="4" t="str">
        <x:v>FY2028–FY2031驱动：周期正常化与有效成本</x:v>
      </x:c>
      <x:c r="G1" s="4" t="str">
        <x:v>FY2028–FY2031驱动：周期正常化与有效成本</x:v>
      </x:c>
      <x:c r="H1" s="4" t="str">
        <x:v>FY2028–FY2031驱动：周期正常化与有效成本</x:v>
      </x:c>
      <x:c r="I1" s="4" t="str">
        <x:v>FY2028–FY2031驱动：周期正常化与有效成本</x:v>
      </x:c>
      <x:c r="J1" s="4" t="str">
        <x:v>FY2028–FY2031驱动：周期正常化与有效成本</x:v>
      </x:c>
    </x:row>
    <x:row r="2" ht="35" customHeight="1">
      <x:c r="A2" s="11" t="str">
        <x:v>v7.3将技术cost/bit与低利用率/固定成本吸收后的有效成本分开；FY28不假设BiCS10送样立即转化为成本下降。</x:v>
      </x:c>
      <x:c r="B2" s="11" t="str">
        <x:v>v7.3将技术cost/bit与低利用率/固定成本吸收后的有效成本分开；FY28不假设BiCS10送样立即转化为成本下降。</x:v>
      </x:c>
      <x:c r="C2" s="11" t="str">
        <x:v>v7.3将技术cost/bit与低利用率/固定成本吸收后的有效成本分开；FY28不假设BiCS10送样立即转化为成本下降。</x:v>
      </x:c>
      <x:c r="D2" s="11" t="str">
        <x:v>v7.3将技术cost/bit与低利用率/固定成本吸收后的有效成本分开；FY28不假设BiCS10送样立即转化为成本下降。</x:v>
      </x:c>
      <x:c r="E2" s="11" t="str">
        <x:v>v7.3将技术cost/bit与低利用率/固定成本吸收后的有效成本分开；FY28不假设BiCS10送样立即转化为成本下降。</x:v>
      </x:c>
      <x:c r="F2" s="11" t="str">
        <x:v>v7.3将技术cost/bit与低利用率/固定成本吸收后的有效成本分开；FY28不假设BiCS10送样立即转化为成本下降。</x:v>
      </x:c>
      <x:c r="G2" s="11" t="str">
        <x:v>v7.3将技术cost/bit与低利用率/固定成本吸收后的有效成本分开；FY28不假设BiCS10送样立即转化为成本下降。</x:v>
      </x:c>
      <x:c r="H2" s="11" t="str">
        <x:v>v7.3将技术cost/bit与低利用率/固定成本吸收后的有效成本分开；FY28不假设BiCS10送样立即转化为成本下降。</x:v>
      </x:c>
      <x:c r="I2" s="11" t="str">
        <x:v>v7.3将技术cost/bit与低利用率/固定成本吸收后的有效成本分开；FY28不假设BiCS10送样立即转化为成本下降。</x:v>
      </x:c>
      <x:c r="J2" s="11" t="str">
        <x:v>v7.3将技术cost/bit与低利用率/固定成本吸收后的有效成本分开；FY28不假设BiCS10送样立即转化为成本下降。</x:v>
      </x:c>
    </x:row>
    <x:row r="4" ht="28" customHeight="1">
      <x:c r="B4" s="20" t="str">
        <x:v>FY2028E</x:v>
      </x:c>
      <x:c r="C4" s="20" t="str">
        <x:v>FY2029E</x:v>
      </x:c>
      <x:c r="D4" s="20" t="str">
        <x:v>FY2030E</x:v>
      </x:c>
      <x:c r="E4" s="20" t="str">
        <x:v>FY2031E</x:v>
      </x:c>
    </x:row>
    <x:row r="5" ht="21" customHeight="1">
      <x:c r="A5" s="50" t="str">
        <x:v>Datacenter</x:v>
      </x:c>
      <x:c r="B5" s="50" t="str">
        <x:v>Datacenter</x:v>
      </x:c>
      <x:c r="C5" s="50" t="str">
        <x:v>Datacenter</x:v>
      </x:c>
      <x:c r="D5" s="50" t="str">
        <x:v>Datacenter</x:v>
      </x:c>
      <x:c r="E5" s="50" t="str">
        <x:v>Datacenter</x:v>
      </x:c>
    </x:row>
    <x:row r="6">
      <x:c r="A6" t="str">
        <x:v>bit增长</x:v>
      </x:c>
      <x:c r="B6" s="36" t="n">
        <x:v>0.4</x:v>
      </x:c>
      <x:c r="C6" s="36" t="n">
        <x:v>0.3</x:v>
      </x:c>
      <x:c r="D6" s="36" t="n">
        <x:v>0.25</x:v>
      </x:c>
      <x:c r="E6" s="36" t="n">
        <x:v>0.2</x:v>
      </x:c>
    </x:row>
    <x:row r="7">
      <x:c r="A7" t="str">
        <x:v>ASP/GB变化</x:v>
      </x:c>
      <x:c r="B7" s="36" t="n">
        <x:v>-0.4</x:v>
      </x:c>
      <x:c r="C7" s="36" t="n">
        <x:v>-0.1</x:v>
      </x:c>
      <x:c r="D7" s="36" t="n">
        <x:v>0.05</x:v>
      </x:c>
      <x:c r="E7" s="36" t="n">
        <x:v>0</x:v>
      </x:c>
    </x:row>
    <x:row r="8">
      <x:c r="A8" t="str">
        <x:v>有效成本/bit变化</x:v>
      </x:c>
      <x:c r="B8" s="36" t="n">
        <x:v>0.2</x:v>
      </x:c>
      <x:c r="C8" s="36" t="n">
        <x:v>-0.08</x:v>
      </x:c>
      <x:c r="D8" s="36" t="n">
        <x:v>-0.08</x:v>
      </x:c>
      <x:c r="E8" s="36" t="n">
        <x:v>-0.06</x:v>
      </x:c>
    </x:row>
    <x:row r="10" ht="21" customHeight="1">
      <x:c r="A10" s="50" t="str">
        <x:v>Edge</x:v>
      </x:c>
      <x:c r="B10" s="50" t="str">
        <x:v>Edge</x:v>
      </x:c>
      <x:c r="C10" s="50" t="str">
        <x:v>Edge</x:v>
      </x:c>
      <x:c r="D10" s="50" t="str">
        <x:v>Edge</x:v>
      </x:c>
      <x:c r="E10" s="50" t="str">
        <x:v>Edge</x:v>
      </x:c>
    </x:row>
    <x:row r="11">
      <x:c r="A11" t="str">
        <x:v>bit增长</x:v>
      </x:c>
      <x:c r="B11" s="36" t="n">
        <x:v>0.08</x:v>
      </x:c>
      <x:c r="C11" s="36" t="n">
        <x:v>0.08</x:v>
      </x:c>
      <x:c r="D11" s="36" t="n">
        <x:v>0.07</x:v>
      </x:c>
      <x:c r="E11" s="36" t="n">
        <x:v>0.05</x:v>
      </x:c>
    </x:row>
    <x:row r="12">
      <x:c r="A12" t="str">
        <x:v>ASP/GB变化</x:v>
      </x:c>
      <x:c r="B12" s="36" t="n">
        <x:v>-0.5</x:v>
      </x:c>
      <x:c r="C12" s="36" t="n">
        <x:v>-0.12</x:v>
      </x:c>
      <x:c r="D12" s="36" t="n">
        <x:v>0</x:v>
      </x:c>
      <x:c r="E12" s="36" t="n">
        <x:v>-0.02</x:v>
      </x:c>
    </x:row>
    <x:row r="13">
      <x:c r="A13" t="str">
        <x:v>有效成本/bit变化</x:v>
      </x:c>
      <x:c r="B13" s="36" t="n">
        <x:v>0.25</x:v>
      </x:c>
      <x:c r="C13" s="36" t="n">
        <x:v>-0.08</x:v>
      </x:c>
      <x:c r="D13" s="36" t="n">
        <x:v>-0.07</x:v>
      </x:c>
      <x:c r="E13" s="36" t="n">
        <x:v>-0.06</x:v>
      </x:c>
    </x:row>
    <x:row r="15" ht="21" customHeight="1">
      <x:c r="A15" s="50" t="str">
        <x:v>Consumer</x:v>
      </x:c>
      <x:c r="B15" s="50" t="str">
        <x:v>Consumer</x:v>
      </x:c>
      <x:c r="C15" s="50" t="str">
        <x:v>Consumer</x:v>
      </x:c>
      <x:c r="D15" s="50" t="str">
        <x:v>Consumer</x:v>
      </x:c>
      <x:c r="E15" s="50" t="str">
        <x:v>Consumer</x:v>
      </x:c>
    </x:row>
    <x:row r="16">
      <x:c r="A16" t="str">
        <x:v>bit增长</x:v>
      </x:c>
      <x:c r="B16" s="36" t="n">
        <x:v>0.02</x:v>
      </x:c>
      <x:c r="C16" s="36" t="n">
        <x:v>0.03</x:v>
      </x:c>
      <x:c r="D16" s="36" t="n">
        <x:v>0.02</x:v>
      </x:c>
      <x:c r="E16" s="36" t="n">
        <x:v>0.01</x:v>
      </x:c>
    </x:row>
    <x:row r="17">
      <x:c r="A17" t="str">
        <x:v>ASP/GB变化</x:v>
      </x:c>
      <x:c r="B17" s="36" t="n">
        <x:v>-0.45</x:v>
      </x:c>
      <x:c r="C17" s="36" t="n">
        <x:v>-0.08</x:v>
      </x:c>
      <x:c r="D17" s="36" t="n">
        <x:v>0</x:v>
      </x:c>
      <x:c r="E17" s="36" t="n">
        <x:v>-0.02</x:v>
      </x:c>
    </x:row>
    <x:row r="18">
      <x:c r="A18" t="str">
        <x:v>有效成本/bit变化</x:v>
      </x:c>
      <x:c r="B18" s="36" t="n">
        <x:v>0.2</x:v>
      </x:c>
      <x:c r="C18" s="36" t="n">
        <x:v>-0.08</x:v>
      </x:c>
      <x:c r="D18" s="36" t="n">
        <x:v>-0.06</x:v>
      </x:c>
      <x:c r="E18" s="36" t="n">
        <x:v>-0.05</x:v>
      </x:c>
    </x:row>
    <x:row r="21" ht="21" customHeight="1">
      <x:c r="A21" s="50" t="str">
        <x:v>公司损益、现金与股数假设</x:v>
      </x:c>
      <x:c r="B21" s="50" t="str">
        <x:v>公司损益、现金与股数假设</x:v>
      </x:c>
      <x:c r="C21" s="50" t="str">
        <x:v>公司损益、现金与股数假设</x:v>
      </x:c>
      <x:c r="D21" s="50" t="str">
        <x:v>公司损益、现金与股数假设</x:v>
      </x:c>
      <x:c r="E21" s="50" t="str">
        <x:v>公司损益、现金与股数假设</x:v>
      </x:c>
    </x:row>
    <x:row r="22" ht="28" customHeight="1">
      <x:c r="A22" s="20" t="str">
        <x:v>项目</x:v>
      </x:c>
      <x:c r="B22" s="20" t="str">
        <x:v>FY2027E</x:v>
      </x:c>
      <x:c r="C22" s="20" t="str">
        <x:v>FY2028E</x:v>
      </x:c>
      <x:c r="D22" s="20" t="str">
        <x:v>FY2029E</x:v>
      </x:c>
      <x:c r="E22" s="20" t="str">
        <x:v>FY2030E</x:v>
      </x:c>
      <x:c r="F22" s="20" t="str">
        <x:v>FY2031E</x:v>
      </x:c>
    </x:row>
    <x:row r="23">
      <x:c r="A23" t="str">
        <x:v>周期/NRV/低利用率费用</x:v>
      </x:c>
      <x:c r="B23" s="32" t="n">
        <x:v>0</x:v>
      </x:c>
      <x:c r="C23" s="32" t="n">
        <x:v>0.5</x:v>
      </x:c>
      <x:c r="D23" s="32" t="n">
        <x:v>0.25</x:v>
      </x:c>
      <x:c r="E23" s="32" t="n">
        <x:v>0</x:v>
      </x:c>
      <x:c r="F23" s="32" t="n">
        <x:v>0</x:v>
      </x:c>
    </x:row>
    <x:row r="24">
      <x:c r="A24" t="str">
        <x:v>研发费用</x:v>
      </x:c>
      <x:c r="B24" s="32" t="n">
        <x:v>1.55</x:v>
      </x:c>
      <x:c r="C24" s="32" t="n">
        <x:v>1.7</x:v>
      </x:c>
      <x:c r="D24" s="32" t="n">
        <x:v>1.8</x:v>
      </x:c>
      <x:c r="E24" s="32" t="n">
        <x:v>1.9</x:v>
      </x:c>
      <x:c r="F24" s="32" t="n">
        <x:v>2.05</x:v>
      </x:c>
    </x:row>
    <x:row r="25">
      <x:c r="A25" t="str">
        <x:v>销售管理费用</x:v>
      </x:c>
      <x:c r="B25" s="32" t="n">
        <x:v>0.8</x:v>
      </x:c>
      <x:c r="C25" s="32" t="n">
        <x:v>0.85</x:v>
      </x:c>
      <x:c r="D25" s="32" t="n">
        <x:v>0.9</x:v>
      </x:c>
      <x:c r="E25" s="32" t="n">
        <x:v>0.95</x:v>
      </x:c>
      <x:c r="F25" s="32" t="n">
        <x:v>1</x:v>
      </x:c>
    </x:row>
    <x:row r="26">
      <x:c r="A26" t="str">
        <x:v>其他营业费用</x:v>
      </x:c>
      <x:c r="B26" s="32" t="n">
        <x:v>0.05</x:v>
      </x:c>
      <x:c r="C26" s="32" t="n">
        <x:v>0.1</x:v>
      </x:c>
      <x:c r="D26" s="32" t="n">
        <x:v>0.05</x:v>
      </x:c>
      <x:c r="E26" s="32" t="n">
        <x:v>0.05</x:v>
      </x:c>
      <x:c r="F26" s="32" t="n">
        <x:v>0.05</x:v>
      </x:c>
    </x:row>
    <x:row r="27">
      <x:c r="A27" t="str">
        <x:v>其他收入</x:v>
      </x:c>
      <x:c r="B27" s="32" t="n">
        <x:v>0.25</x:v>
      </x:c>
      <x:c r="C27" s="32" t="n">
        <x:v>0.25</x:v>
      </x:c>
      <x:c r="D27" s="32" t="n">
        <x:v>0.3</x:v>
      </x:c>
      <x:c r="E27" s="32" t="n">
        <x:v>0.35</x:v>
      </x:c>
      <x:c r="F27" s="32" t="n">
        <x:v>0.4</x:v>
      </x:c>
    </x:row>
    <x:row r="28">
      <x:c r="A28" t="str">
        <x:v>税率</x:v>
      </x:c>
      <x:c r="B28" s="32" t="n">
        <x:v>0.155</x:v>
      </x:c>
      <x:c r="C28" s="32" t="n">
        <x:v>0.16</x:v>
      </x:c>
      <x:c r="D28" s="32" t="n">
        <x:v>0.17</x:v>
      </x:c>
      <x:c r="E28" s="32" t="n">
        <x:v>0.18</x:v>
      </x:c>
      <x:c r="F28" s="32" t="n">
        <x:v>0.18</x:v>
      </x:c>
    </x:row>
    <x:row r="29">
      <x:c r="A29" t="str">
        <x:v>稀释股数（百万）</x:v>
      </x:c>
      <x:c r="B29" s="36" t="n">
        <x:v>156</x:v>
      </x:c>
      <x:c r="C29" s="36" t="n">
        <x:v>154</x:v>
      </x:c>
      <x:c r="D29" s="36" t="n">
        <x:v>153</x:v>
      </x:c>
      <x:c r="E29" s="36" t="n">
        <x:v>152</x:v>
      </x:c>
      <x:c r="F29" s="36" t="n">
        <x:v>151</x:v>
      </x:c>
    </x:row>
    <x:row r="30">
      <x:c r="A30" t="str">
        <x:v>D&amp;A＋SBC</x:v>
      </x:c>
      <x:c r="B30" s="40" t="n">
        <x:v>0.45</x:v>
      </x:c>
      <x:c r="C30" s="40" t="n">
        <x:v>0.5</x:v>
      </x:c>
      <x:c r="D30" s="40" t="n">
        <x:v>0.55</x:v>
      </x:c>
      <x:c r="E30" s="40" t="n">
        <x:v>0.6</x:v>
      </x:c>
      <x:c r="F30" s="40" t="n">
        <x:v>0.65</x:v>
      </x:c>
    </x:row>
    <x:row r="31">
      <x:c r="A31" t="str">
        <x:v>营运资金投资（释放为负）</x:v>
      </x:c>
      <x:c r="B31" s="32" t="n">
        <x:v>1</x:v>
      </x:c>
      <x:c r="C31" s="32" t="n">
        <x:v>-1.5</x:v>
      </x:c>
      <x:c r="D31" s="32" t="n">
        <x:v>0</x:v>
      </x:c>
      <x:c r="E31" s="32" t="n">
        <x:v>0.3</x:v>
      </x:c>
      <x:c r="F31" s="32" t="n">
        <x:v>0.5</x:v>
      </x:c>
    </x:row>
    <x:row r="32">
      <x:c r="A32" t="str">
        <x:v>表内CapEx</x:v>
      </x:c>
      <x:c r="B32" s="32" t="n">
        <x:v>0.25</x:v>
      </x:c>
      <x:c r="C32" s="32" t="n">
        <x:v>0.3</x:v>
      </x:c>
      <x:c r="D32" s="32" t="n">
        <x:v>0.35</x:v>
      </x:c>
      <x:c r="E32" s="32" t="n">
        <x:v>0.4</x:v>
      </x:c>
      <x:c r="F32" s="32" t="n">
        <x:v>0.45</x:v>
      </x:c>
    </x:row>
    <x:row r="33">
      <x:c r="A33" t="str">
        <x:v>FV增量资本性投入</x:v>
      </x:c>
      <x:c r="B33" s="32" t="n">
        <x:v>0.45</x:v>
      </x:c>
      <x:c r="C33" s="32" t="n">
        <x:v>0.6</x:v>
      </x:c>
      <x:c r="D33" s="32" t="n">
        <x:v>0.55</x:v>
      </x:c>
      <x:c r="E33" s="32" t="n">
        <x:v>0.45</x:v>
      </x:c>
      <x:c r="F33" s="32" t="n">
        <x:v>0.4</x:v>
      </x:c>
    </x:row>
    <x:row r="34">
      <x:c r="A34" t="str">
        <x:v>回购金额</x:v>
      </x:c>
      <x:c r="B34" s="32" t="n">
        <x:v>3</x:v>
      </x:c>
      <x:c r="C34" s="32" t="n">
        <x:v>2.5</x:v>
      </x:c>
      <x:c r="D34" s="32" t="n">
        <x:v>0</x:v>
      </x:c>
      <x:c r="E34" s="32" t="n">
        <x:v>0</x:v>
      </x:c>
      <x:c r="F34" s="32" t="n">
        <x:v>0</x:v>
      </x:c>
    </x:row>
    <x:row r="37" ht="21" customHeight="1">
      <x:c r="A37" s="50" t="str">
        <x:v>渠道与阶段闸门</x:v>
      </x:c>
      <x:c r="B37" s="50" t="str">
        <x:v>渠道与阶段闸门</x:v>
      </x:c>
      <x:c r="C37" s="50" t="str">
        <x:v>渠道与阶段闸门</x:v>
      </x:c>
      <x:c r="D37" s="50" t="str">
        <x:v>渠道与阶段闸门</x:v>
      </x:c>
      <x:c r="E37" s="50" t="str">
        <x:v>渠道与阶段闸门</x:v>
      </x:c>
      <x:c r="F37" s="50" t="str">
        <x:v>渠道与阶段闸门</x:v>
      </x:c>
      <x:c r="G37" s="50" t="str">
        <x:v>渠道与阶段闸门</x:v>
      </x:c>
      <x:c r="H37" s="50" t="str">
        <x:v>渠道与阶段闸门</x:v>
      </x:c>
      <x:c r="I37" s="50" t="str">
        <x:v>渠道与阶段闸门</x:v>
      </x:c>
      <x:c r="J37" s="50" t="str">
        <x:v>渠道与阶段闸门</x:v>
      </x:c>
    </x:row>
    <x:row r="38" ht="28" customHeight="1">
      <x:c r="A38" s="20" t="str">
        <x:v>项目</x:v>
      </x:c>
      <x:c r="B38" s="20" t="str">
        <x:v>Base权限</x:v>
      </x:c>
      <x:c r="C38" s="20" t="str">
        <x:v>当前状态</x:v>
      </x:c>
      <x:c r="D38" s="20" t="str">
        <x:v>FY27处理</x:v>
      </x:c>
      <x:c r="E38" s="20" t="str">
        <x:v>FY28+处理</x:v>
      </x:c>
      <x:c r="F38" s="20" t="str">
        <x:v>说明</x:v>
      </x:c>
    </x:row>
    <x:row r="39" ht="45" customHeight="1">
      <x:c r="A39" s="26" t="str">
        <x:v>Edge/Consumer sell-through</x:v>
      </x:c>
      <x:c r="B39" s="26" t="str">
        <x:v>E3校准</x:v>
      </x:c>
      <x:c r="C39" s="26" t="str">
        <x:v>Q3价格/收入异常高</x:v>
      </x:c>
      <x:c r="D39" s="26" t="str">
        <x:v>H2 bit sell-in可转负</x:v>
      </x:c>
      <x:c r="E39" s="26" t="str">
        <x:v>单独周期状态</x:v>
      </x:c>
      <x:c r="F39" s="26" t="str">
        <x:v>不让AI覆盖传统渠道库存</x:v>
      </x:c>
    </x:row>
    <x:row r="40" ht="45" customHeight="1">
      <x:c r="A40" s="26" t="str">
        <x:v>NBM/RPO</x:v>
      </x:c>
      <x:c r="B40" s="26" t="str">
        <x:v>收入可见性</x:v>
      </x:c>
      <x:c r="C40" s="26" t="str">
        <x:v>条款未披露</x:v>
      </x:c>
      <x:c r="D40" s="26" t="str">
        <x:v>不设置产品price floor</x:v>
      </x:c>
      <x:c r="E40" s="26" t="str">
        <x:v>情景中提高执行概率</x:v>
      </x:c>
      <x:c r="F40" s="26" t="str">
        <x:v>RPO不是毛利保护</x:v>
      </x:c>
    </x:row>
    <x:row r="41" ht="45" customHeight="1">
      <x:c r="A41" s="26" t="str">
        <x:v>BiCS10</x:v>
      </x:c>
      <x:c r="B41" s="26" t="str">
        <x:v>技术期权</x:v>
      </x:c>
      <x:c r="C41" s="26" t="str">
        <x:v>送样</x:v>
      </x:c>
      <x:c r="D41" s="26" t="str">
        <x:v>不改变Base成本</x:v>
      </x:c>
      <x:c r="E41" s="26" t="str">
        <x:v>量产/良率后升级</x:v>
      </x:c>
      <x:c r="F41" s="26" t="str">
        <x:v>密度≠成本同比例下降</x:v>
      </x:c>
    </x:row>
    <x:row r="42" ht="45" customHeight="1">
      <x:c r="A42" s="26" t="str">
        <x:v>QLC企业SSD</x:v>
      </x:c>
      <x:c r="B42" s="26" t="str">
        <x:v>含在DC</x:v>
      </x:c>
      <x:c r="C42" s="26" t="str">
        <x:v>进入收入出货窗口</x:v>
      </x:c>
      <x:c r="D42" s="26" t="str">
        <x:v>DC bit路径</x:v>
      </x:c>
      <x:c r="E42" s="26" t="str">
        <x:v>持续看客户/收入</x:v>
      </x:c>
      <x:c r="F42" s="26" t="str">
        <x:v>不单独重复加收入</x:v>
      </x:c>
    </x:row>
    <x:row r="43" ht="45" customHeight="1">
      <x:c r="A43" s="26" t="str">
        <x:v>HBF</x:v>
      </x:c>
      <x:c r="B43" s="26" t="str">
        <x:v>Bull期权</x:v>
      </x:c>
      <x:c r="C43" s="26" t="str">
        <x:v>样品前/标准化</x:v>
      </x:c>
      <x:c r="D43" s="26" t="str">
        <x:v>Base=0</x:v>
      </x:c>
      <x:c r="E43" s="26" t="str">
        <x:v>Base仍=0</x:v>
      </x:c>
      <x:c r="F43" s="26" t="str">
        <x:v>Stage 3前不计收入</x:v>
      </x:c>
    </x:row>
  </x:sheetData>
  <x:mergeCells>
    <x:mergeCell ref="A1:J1"/>
    <x:mergeCell ref="A2:J2"/>
    <x:mergeCell ref="A5:E5"/>
    <x:mergeCell ref="A10:E10"/>
    <x:mergeCell ref="A15:E15"/>
    <x:mergeCell ref="A21:E21"/>
    <x:mergeCell ref="A37:J3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 ht="28" customHeight="1">
      <x:c r="A1" s="4" t="str">
        <x:v>五年GAAP损益模型</x:v>
      </x:c>
      <x:c r="B1" s="4" t="str">
        <x:v>五年GAAP损益模型</x:v>
      </x:c>
      <x:c r="C1" s="4" t="str">
        <x:v>五年GAAP损益模型</x:v>
      </x:c>
      <x:c r="D1" s="4" t="str">
        <x:v>五年GAAP损益模型</x:v>
      </x:c>
      <x:c r="E1" s="4" t="str">
        <x:v>五年GAAP损益模型</x:v>
      </x:c>
      <x:c r="F1" s="4" t="str">
        <x:v>五年GAAP损益模型</x:v>
      </x:c>
      <x:c r="G1" s="4" t="str">
        <x:v>五年GAAP损益模型</x:v>
      </x:c>
      <x:c r="H1" s="4" t="str">
        <x:v>五年GAAP损益模型</x:v>
      </x:c>
      <x:c r="I1" s="4" t="str">
        <x:v>五年GAAP损益模型</x:v>
      </x:c>
      <x:c r="J1" s="4" t="str">
        <x:v>五年GAAP损益模型</x:v>
      </x:c>
      <x:c r="K1" s="4" t="str">
        <x:v>五年GAAP损益模型</x:v>
      </x:c>
    </x:row>
    <x:row r="2" ht="35" customHeight="1">
      <x:c r="A2" s="11" t="str">
        <x:v>FY27链接季度模型；FY28–FY31从上一年分市场收入/成本按bit、ASP和有效成本公式滚动。</x:v>
      </x:c>
      <x:c r="B2" s="11" t="str">
        <x:v>FY27链接季度模型；FY28–FY31从上一年分市场收入/成本按bit、ASP和有效成本公式滚动。</x:v>
      </x:c>
      <x:c r="C2" s="11" t="str">
        <x:v>FY27链接季度模型；FY28–FY31从上一年分市场收入/成本按bit、ASP和有效成本公式滚动。</x:v>
      </x:c>
      <x:c r="D2" s="11" t="str">
        <x:v>FY27链接季度模型；FY28–FY31从上一年分市场收入/成本按bit、ASP和有效成本公式滚动。</x:v>
      </x:c>
      <x:c r="E2" s="11" t="str">
        <x:v>FY27链接季度模型；FY28–FY31从上一年分市场收入/成本按bit、ASP和有效成本公式滚动。</x:v>
      </x:c>
      <x:c r="F2" s="11" t="str">
        <x:v>FY27链接季度模型；FY28–FY31从上一年分市场收入/成本按bit、ASP和有效成本公式滚动。</x:v>
      </x:c>
      <x:c r="G2" s="11" t="str">
        <x:v>FY27链接季度模型；FY28–FY31从上一年分市场收入/成本按bit、ASP和有效成本公式滚动。</x:v>
      </x:c>
      <x:c r="H2" s="11" t="str">
        <x:v>FY27链接季度模型；FY28–FY31从上一年分市场收入/成本按bit、ASP和有效成本公式滚动。</x:v>
      </x:c>
      <x:c r="I2" s="11" t="str">
        <x:v>FY27链接季度模型；FY28–FY31从上一年分市场收入/成本按bit、ASP和有效成本公式滚动。</x:v>
      </x:c>
      <x:c r="J2" s="11" t="str">
        <x:v>FY27链接季度模型；FY28–FY31从上一年分市场收入/成本按bit、ASP和有效成本公式滚动。</x:v>
      </x:c>
      <x:c r="K2" s="11" t="str">
        <x:v>FY27链接季度模型；FY28–FY31从上一年分市场收入/成本按bit、ASP和有效成本公式滚动。</x:v>
      </x:c>
    </x:row>
    <x:row r="4" ht="28" customHeight="1">
      <x:c r="A4" t="str">
        <x:v>十亿美元；EPS除外</x:v>
      </x:c>
      <x:c r="B4" s="20" t="str">
        <x:v>FY2026E</x:v>
      </x:c>
      <x:c r="C4" s="20" t="str">
        <x:v>FY2027E</x:v>
      </x:c>
      <x:c r="D4" s="20" t="str">
        <x:v>FY2028E</x:v>
      </x:c>
      <x:c r="E4" s="20" t="str">
        <x:v>FY2029E</x:v>
      </x:c>
      <x:c r="F4" s="20" t="str">
        <x:v>FY2030E</x:v>
      </x:c>
      <x:c r="G4" s="20" t="str">
        <x:v>FY2031E</x:v>
      </x:c>
    </x:row>
    <x:row r="5">
      <x:c r="A5" t="str">
        <x:v>Datacenter收入</x:v>
      </x:c>
      <x:c r="B5" s="58" t="n">
        <x:f>'历史与FY26桥'!F5</x:f>
        <x:v>4.5760000000000005</x:v>
      </x:c>
      <x:c r="C5" s="58" t="n">
        <x:f>SUM('FY27季度模型'!C13:F13)</x:f>
        <x:v>11.776490901504001</x:v>
      </x:c>
      <x:c r="D5" s="58" t="n">
        <x:f>C5*(1+'FY28-31驱动'!B6)*(1+'FY28-31驱动'!B7)</x:f>
        <x:v>9.89225235726336</x:v>
      </x:c>
      <x:c r="E5" s="58" t="n">
        <x:f>D5*(1+'FY28-31驱动'!C6)*(1+'FY28-31驱动'!C7)</x:f>
        <x:v>11.573935257998132</x:v>
      </x:c>
      <x:c r="F5" s="58" t="n">
        <x:f>E5*(1+'FY28-31驱动'!D6)*(1+'FY28-31驱动'!D7)</x:f>
        <x:v>15.190790026122547</x:v>
      </x:c>
      <x:c r="G5" s="58" t="n">
        <x:f>F5*(1+'FY28-31驱动'!E6)*(1+'FY28-31驱动'!E7)</x:f>
        <x:v>18.228948031347056</x:v>
      </x:c>
    </x:row>
    <x:row r="6">
      <x:c r="A6" t="str">
        <x:v>Edge收入</x:v>
      </x:c>
      <x:c r="B6" s="58" t="n">
        <x:f>'历史与FY26桥'!F6</x:f>
        <x:v>11.328</x:v>
      </x:c>
      <x:c r="C6" s="58" t="n">
        <x:f>SUM('FY27季度模型'!C28:F28)</x:f>
        <x:v>16.376603398559997</x:v>
      </x:c>
      <x:c r="D6" s="58" t="n">
        <x:f>C6*(1+'FY28-31驱动'!B11)*(1+'FY28-31驱动'!B12)</x:f>
        <x:v>8.843365835222398</x:v>
      </x:c>
      <x:c r="E6" s="58" t="n">
        <x:f>D6*(1+'FY28-31驱动'!C11)*(1+'FY28-31驱动'!C12)</x:f>
        <x:v>8.404734889795368</x:v>
      </x:c>
      <x:c r="F6" s="58" t="n">
        <x:f>E6*(1+'FY28-31驱动'!D11)*(1+'FY28-31驱动'!D12)</x:f>
        <x:v>8.993066332081044</x:v>
      </x:c>
      <x:c r="G6" s="58" t="n">
        <x:f>F6*(1+'FY28-31驱动'!E11)*(1+'FY28-31驱动'!E12)</x:f>
        <x:v>9.253865255711395</x:v>
      </x:c>
    </x:row>
    <x:row r="7">
      <x:c r="A7" t="str">
        <x:v>Consumer收入</x:v>
      </x:c>
      <x:c r="B7" s="58" t="n">
        <x:f>'历史与FY26桥'!F7</x:f>
        <x:v>3.379</x:v>
      </x:c>
      <x:c r="C7" s="58" t="n">
        <x:f>SUM('FY27季度模型'!C43:F43)</x:f>
        <x:v>3.3644480822399996</x:v>
      </x:c>
      <x:c r="D7" s="58" t="n">
        <x:f>C7*(1+'FY28-31驱动'!B16)*(1+'FY28-31驱动'!B17)</x:f>
        <x:v>1.88745537413664</x:v>
      </x:c>
      <x:c r="E7" s="58" t="n">
        <x:f>D7*(1+'FY28-31驱动'!C16)*(1+'FY28-31驱动'!C17)</x:f>
        <x:v>1.7885527125318803</x:v>
      </x:c>
      <x:c r="F7" s="58" t="n">
        <x:f>E7*(1+'FY28-31驱动'!D16)*(1+'FY28-31驱动'!D17)</x:f>
        <x:v>1.8243237667825178</x:v>
      </x:c>
      <x:c r="G7" s="58" t="n">
        <x:f>F7*(1+'FY28-31驱动'!E16)*(1+'FY28-31驱动'!E17)</x:f>
        <x:v>1.8057156643613361</x:v>
      </x:c>
    </x:row>
    <x:row r="8">
      <x:c r="A8" t="str">
        <x:v>HBF收入</x:v>
      </x:c>
      <x:c r="B8" s="58" t="n">
        <x:v>0</x:v>
      </x:c>
      <x:c r="C8" s="58" t="n">
        <x:v>0</x:v>
      </x:c>
      <x:c r="D8" s="58" t="n">
        <x:v>0</x:v>
      </x:c>
      <x:c r="E8" s="58" t="n">
        <x:v>0</x:v>
      </x:c>
      <x:c r="F8" s="58" t="n">
        <x:v>0</x:v>
      </x:c>
      <x:c r="G8" s="58" t="n">
        <x:v>0</x:v>
      </x:c>
    </x:row>
    <x:row r="9">
      <x:c r="A9" t="str">
        <x:v>营业收入</x:v>
      </x:c>
      <x:c r="B9" s="58" t="n">
        <x:f>SUM(B5:B8)</x:f>
        <x:v>19.283</x:v>
      </x:c>
      <x:c r="C9" s="58" t="n">
        <x:f>SUM(C5:C8)</x:f>
        <x:v>31.517542382303997</x:v>
      </x:c>
      <x:c r="D9" s="58" t="n">
        <x:f>SUM(D5:D8)</x:f>
        <x:v>20.6230735666224</x:v>
      </x:c>
      <x:c r="E9" s="58" t="n">
        <x:f>SUM(E5:E8)</x:f>
        <x:v>21.767222860325383</x:v>
      </x:c>
      <x:c r="F9" s="58" t="n">
        <x:f>SUM(F5:F8)</x:f>
        <x:v>26.008180124986108</x:v>
      </x:c>
      <x:c r="G9" s="58" t="n">
        <x:f>SUM(G5:G8)</x:f>
        <x:v>29.288528951419785</x:v>
      </x:c>
    </x:row>
    <x:row r="10">
      <x:c r="A10" t="str">
        <x:v>Datacenter营业成本</x:v>
      </x:c>
      <x:c r="B10" s="58"/>
      <x:c r="C10" s="58" t="n">
        <x:f>SUM('FY27季度模型'!C14:F14)</x:f>
        <x:v>1.4130169906367693</x:v>
      </x:c>
      <x:c r="D10" s="58" t="n">
        <x:f>C10*(1+'FY28-31驱动'!B6)*(1+'FY28-31驱动'!B8)</x:f>
        <x:v>2.3738685442697722</x:v>
      </x:c>
      <x:c r="E10" s="58" t="n">
        <x:f>D10*(1+'FY28-31驱动'!C6)*(1+'FY28-31驱动'!C8)</x:f>
        <x:v>2.8391467789466476</x:v>
      </x:c>
      <x:c r="F10" s="58" t="n">
        <x:f>E10*(1+'FY28-31驱动'!D6)*(1+'FY28-31驱动'!D8)</x:f>
        <x:v>3.2650187957886447</x:v>
      </x:c>
      <x:c r="G10" s="58" t="n">
        <x:f>F10*(1+'FY28-31驱动'!E6)*(1+'FY28-31驱动'!E8)</x:f>
        <x:v>3.682941201649591</x:v>
      </x:c>
    </x:row>
    <x:row r="11">
      <x:c r="A11" t="str">
        <x:v>Edge营业成本</x:v>
      </x:c>
      <x:c r="B11" s="58"/>
      <x:c r="C11" s="58" t="n">
        <x:f>SUM('FY27季度模型'!C29:F29)</x:f>
        <x:v>3.382770645920143</x:v>
      </x:c>
      <x:c r="D11" s="58" t="n">
        <x:f>C11*(1+'FY28-31驱动'!B11)*(1+'FY28-31驱动'!B13)</x:f>
        <x:v>4.566740371992194</x:v>
      </x:c>
      <x:c r="E11" s="58" t="n">
        <x:f>D11*(1+'FY28-31驱动'!C11)*(1+'FY28-31驱动'!C13)</x:f>
        <x:v>4.537513233611444</x:v>
      </x:c>
      <x:c r="F11" s="58" t="n">
        <x:f>E11*(1+'FY28-31驱动'!D11)*(1+'FY28-31驱动'!D13)</x:f>
        <x:v>4.515279418766747</x:v>
      </x:c>
      <x:c r="G11" s="58" t="n">
        <x:f>F11*(1+'FY28-31驱动'!E11)*(1+'FY28-31驱动'!E13)</x:f>
        <x:v>4.456580786322779</x:v>
      </x:c>
    </x:row>
    <x:row r="12">
      <x:c r="A12" t="str">
        <x:v>Consumer营业成本</x:v>
      </x:c>
      <x:c r="B12" s="58"/>
      <x:c r="C12" s="58" t="n">
        <x:f>SUM('FY27季度模型'!C44:F44)</x:f>
        <x:v>1.6617115296431997</x:v>
      </x:c>
      <x:c r="D12" s="58" t="n">
        <x:f>C12*(1+'FY28-31驱动'!B16)*(1+'FY28-31驱动'!B18)</x:f>
        <x:v>2.0339349122832764</x:v>
      </x:c>
      <x:c r="E12" s="58" t="n">
        <x:f>D12*(1+'FY28-31驱动'!C16)*(1+'FY28-31驱动'!C18)</x:f>
        <x:v>1.9273567228796327</x:v>
      </x:c>
      <x:c r="F12" s="58" t="n">
        <x:f>E12*(1+'FY28-31驱动'!D16)*(1+'FY28-31驱动'!D18)</x:f>
        <x:v>1.8479496258969919</x:v>
      </x:c>
      <x:c r="G12" s="58" t="n">
        <x:f>F12*(1+'FY28-31驱动'!E16)*(1+'FY28-31驱动'!E18)</x:f>
        <x:v>1.7731076660481635</x:v>
      </x:c>
    </x:row>
    <x:row r="13">
      <x:c r="A13" t="str">
        <x:v>周期/NRV费用</x:v>
      </x:c>
      <x:c r="B13" s="58" t="n">
        <x:v>0</x:v>
      </x:c>
      <x:c r="C13" s="58" t="n">
        <x:f>'FY28-31驱动'!B23</x:f>
        <x:v>0</x:v>
      </x:c>
      <x:c r="D13" s="58" t="n">
        <x:f>'FY28-31驱动'!C23</x:f>
        <x:v>0.5</x:v>
      </x:c>
      <x:c r="E13" s="58" t="n">
        <x:f>'FY28-31驱动'!D23</x:f>
        <x:v>0.25</x:v>
      </x:c>
      <x:c r="F13" s="58" t="n">
        <x:f>'FY28-31驱动'!E23</x:f>
        <x:v>0</x:v>
      </x:c>
      <x:c r="G13" s="58" t="n">
        <x:f>'FY28-31驱动'!F23</x:f>
        <x:v>0</x:v>
      </x:c>
    </x:row>
    <x:row r="14">
      <x:c r="A14" t="str">
        <x:v>营业成本</x:v>
      </x:c>
      <x:c r="B14" s="58" t="n">
        <x:f>'历史与FY26桥'!F8-'历史与FY26桥'!F10</x:f>
        <x:v>5.998691000000001</x:v>
      </x:c>
      <x:c r="C14" s="58" t="n">
        <x:f>SUM(C10:C13)</x:f>
        <x:v>6.457499166200113</x:v>
      </x:c>
      <x:c r="D14" s="58" t="n">
        <x:f>SUM(D10:D13)</x:f>
        <x:v>9.474543828545242</x:v>
      </x:c>
      <x:c r="E14" s="58" t="n">
        <x:f>SUM(E10:E13)</x:f>
        <x:v>9.554016735437724</x:v>
      </x:c>
      <x:c r="F14" s="58" t="n">
        <x:f>SUM(F10:F13)</x:f>
        <x:v>9.628247840452385</x:v>
      </x:c>
      <x:c r="G14" s="58" t="n">
        <x:f>SUM(G10:G13)</x:f>
        <x:v>9.912629654020533</x:v>
      </x:c>
    </x:row>
    <x:row r="15">
      <x:c r="A15" t="str">
        <x:v>毛利润</x:v>
      </x:c>
      <x:c r="B15" s="58" t="n">
        <x:f>B9-B14</x:f>
        <x:v>13.284309</x:v>
      </x:c>
      <x:c r="C15" s="58" t="n">
        <x:f>C9-C14</x:f>
        <x:v>25.060043216103885</x:v>
      </x:c>
      <x:c r="D15" s="58" t="n">
        <x:f>D9-D14</x:f>
        <x:v>11.148529738077157</x:v>
      </x:c>
      <x:c r="E15" s="58" t="n">
        <x:f>E9-E14</x:f>
        <x:v>12.213206124887659</x:v>
      </x:c>
      <x:c r="F15" s="58" t="n">
        <x:f>F9-F14</x:f>
        <x:v>16.379932284533723</x:v>
      </x:c>
      <x:c r="G15" s="58" t="n">
        <x:f>G9-G14</x:f>
        <x:v>19.37589929739925</x:v>
      </x:c>
    </x:row>
    <x:row r="16">
      <x:c r="A16" t="str">
        <x:v>毛利率</x:v>
      </x:c>
      <x:c r="B16" s="59" t="n">
        <x:f>B15/B9</x:f>
        <x:v>0.688912980345382</x:v>
      </x:c>
      <x:c r="C16" s="59" t="n">
        <x:f>C15/C9</x:f>
        <x:v>0.7951141276222802</x:v>
      </x:c>
      <x:c r="D16" s="59" t="n">
        <x:f>D15/D9</x:f>
        <x:v>0.5405852673735595</x:v>
      </x:c>
      <x:c r="E16" s="59" t="n">
        <x:f>E15/E9</x:f>
        <x:v>0.5610824221011854</x:v>
      </x:c>
      <x:c r="F16" s="59" t="n">
        <x:f>F15/F9</x:f>
        <x:v>0.6297992479988053</x:v>
      </x:c>
      <x:c r="G16" s="59" t="n">
        <x:f>G15/G9</x:f>
        <x:v>0.6615524914050007</x:v>
      </x:c>
    </x:row>
    <x:row r="17">
      <x:c r="A17" t="str">
        <x:v>研发费用</x:v>
      </x:c>
      <x:c r="B17" s="58" t="n">
        <x:f>'历史与FY26桥'!E11</x:f>
        <x:v>0.541</x:v>
      </x:c>
      <x:c r="C17" s="58" t="n">
        <x:f>'FY28-31驱动'!B24</x:f>
        <x:v>1.55</x:v>
      </x:c>
      <x:c r="D17" s="58" t="n">
        <x:f>'FY28-31驱动'!C24</x:f>
        <x:v>1.7</x:v>
      </x:c>
      <x:c r="E17" s="58" t="n">
        <x:f>'FY28-31驱动'!D24</x:f>
        <x:v>1.8</x:v>
      </x:c>
      <x:c r="F17" s="58" t="n">
        <x:f>'FY28-31驱动'!E24</x:f>
        <x:v>1.9</x:v>
      </x:c>
      <x:c r="G17" s="58" t="n">
        <x:f>'FY28-31驱动'!F24</x:f>
        <x:v>2.05</x:v>
      </x:c>
    </x:row>
    <x:row r="18">
      <x:c r="A18" t="str">
        <x:v>销售管理费用</x:v>
      </x:c>
      <x:c r="B18" s="58" t="n">
        <x:f>0.659</x:f>
        <x:v>0.659</x:v>
      </x:c>
      <x:c r="C18" s="58" t="n">
        <x:f>'FY28-31驱动'!B25</x:f>
        <x:v>0.8</x:v>
      </x:c>
      <x:c r="D18" s="58" t="n">
        <x:f>'FY28-31驱动'!C25</x:f>
        <x:v>0.85</x:v>
      </x:c>
      <x:c r="E18" s="58" t="n">
        <x:f>'FY28-31驱动'!D25</x:f>
        <x:v>0.9</x:v>
      </x:c>
      <x:c r="F18" s="58" t="n">
        <x:f>'FY28-31驱动'!E25</x:f>
        <x:v>0.95</x:v>
      </x:c>
      <x:c r="G18" s="58" t="n">
        <x:f>'FY28-31驱动'!F25</x:f>
        <x:v>1</x:v>
      </x:c>
    </x:row>
    <x:row r="19">
      <x:c r="A19" t="str">
        <x:v>其他营业费用</x:v>
      </x:c>
      <x:c r="B19" s="58" t="n">
        <x:f>0.09</x:f>
        <x:v>0.09</x:v>
      </x:c>
      <x:c r="C19" s="58" t="n">
        <x:f>'FY28-31驱动'!B26</x:f>
        <x:v>0.05</x:v>
      </x:c>
      <x:c r="D19" s="58" t="n">
        <x:f>'FY28-31驱动'!C26</x:f>
        <x:v>0.1</x:v>
      </x:c>
      <x:c r="E19" s="58" t="n">
        <x:f>'FY28-31驱动'!D26</x:f>
        <x:v>0.05</x:v>
      </x:c>
      <x:c r="F19" s="58" t="n">
        <x:f>'FY28-31驱动'!E26</x:f>
        <x:v>0.05</x:v>
      </x:c>
      <x:c r="G19" s="58" t="n">
        <x:f>'FY28-31驱动'!F26</x:f>
        <x:v>0.05</x:v>
      </x:c>
    </x:row>
    <x:row r="20">
      <x:c r="A20" t="str">
        <x:v>营业利润</x:v>
      </x:c>
      <x:c r="B20" s="58" t="n">
        <x:f>B15-B17-B18-B19</x:f>
        <x:v>11.994309</x:v>
      </x:c>
      <x:c r="C20" s="58" t="n">
        <x:f>C15-C17-C18-C19</x:f>
        <x:v>22.660043216103883</x:v>
      </x:c>
      <x:c r="D20" s="58" t="n">
        <x:f>D15-D17-D18-D19</x:f>
        <x:v>8.498529738077158</x:v>
      </x:c>
      <x:c r="E20" s="58" t="n">
        <x:f>E15-E17-E18-E19</x:f>
        <x:v>9.463206124887657</x:v>
      </x:c>
      <x:c r="F20" s="58" t="n">
        <x:f>F15-F17-F18-F19</x:f>
        <x:v>13.479932284533723</x:v>
      </x:c>
      <x:c r="G20" s="58" t="n">
        <x:f>G15-G17-G18-G19</x:f>
        <x:v>16.27589929739925</x:v>
      </x:c>
    </x:row>
    <x:row r="21">
      <x:c r="A21" t="str">
        <x:v>其他收入</x:v>
      </x:c>
      <x:c r="B21" s="58" t="n">
        <x:v>-0.26</x:v>
      </x:c>
      <x:c r="C21" s="58" t="n">
        <x:f>'FY28-31驱动'!B27</x:f>
        <x:v>0.25</x:v>
      </x:c>
      <x:c r="D21" s="58" t="n">
        <x:f>'FY28-31驱动'!C27</x:f>
        <x:v>0.25</x:v>
      </x:c>
      <x:c r="E21" s="58" t="n">
        <x:f>'FY28-31驱动'!D27</x:f>
        <x:v>0.3</x:v>
      </x:c>
      <x:c r="F21" s="58" t="n">
        <x:f>'FY28-31驱动'!E27</x:f>
        <x:v>0.35</x:v>
      </x:c>
      <x:c r="G21" s="58" t="n">
        <x:f>'FY28-31驱动'!F27</x:f>
        <x:v>0.4</x:v>
      </x:c>
    </x:row>
    <x:row r="22">
      <x:c r="A22" t="str">
        <x:v>税前利润</x:v>
      </x:c>
      <x:c r="B22" s="58" t="n">
        <x:f>B20+B21</x:f>
        <x:v>11.734309</x:v>
      </x:c>
      <x:c r="C22" s="58" t="n">
        <x:f>C20+C21</x:f>
        <x:v>22.910043216103883</x:v>
      </x:c>
      <x:c r="D22" s="58" t="n">
        <x:f>D20+D21</x:f>
        <x:v>8.748529738077158</x:v>
      </x:c>
      <x:c r="E22" s="58" t="n">
        <x:f>E20+E21</x:f>
        <x:v>9.763206124887658</x:v>
      </x:c>
      <x:c r="F22" s="58" t="n">
        <x:f>F20+F21</x:f>
        <x:v>13.829932284533722</x:v>
      </x:c>
      <x:c r="G22" s="58" t="n">
        <x:f>G20+G21</x:f>
        <x:v>16.675899297399248</x:v>
      </x:c>
    </x:row>
    <x:row r="23">
      <x:c r="A23" t="str">
        <x:v>税率</x:v>
      </x:c>
      <x:c r="B23" s="59" t="n">
        <x:f>IF(B22=0,0,(B22-B25)/B22)</x:f>
        <x:v>0.18376105486910224</x:v>
      </x:c>
      <x:c r="C23" s="59" t="n">
        <x:f>'FY28-31驱动'!B28</x:f>
        <x:v>0.155</x:v>
      </x:c>
      <x:c r="D23" s="59" t="n">
        <x:f>'FY28-31驱动'!C28</x:f>
        <x:v>0.16</x:v>
      </x:c>
      <x:c r="E23" s="59" t="n">
        <x:f>'FY28-31驱动'!D28</x:f>
        <x:v>0.17</x:v>
      </x:c>
      <x:c r="F23" s="59" t="n">
        <x:f>'FY28-31驱动'!E28</x:f>
        <x:v>0.18</x:v>
      </x:c>
      <x:c r="G23" s="59" t="n">
        <x:f>'FY28-31驱动'!F28</x:f>
        <x:v>0.18</x:v>
      </x:c>
    </x:row>
    <x:row r="24">
      <x:c r="A24" t="str">
        <x:v>所得税</x:v>
      </x:c>
      <x:c r="B24" s="58" t="n">
        <x:f>B22-B25</x:f>
        <x:v>2.1563090000000003</x:v>
      </x:c>
      <x:c r="C24" s="58" t="n">
        <x:f>C22*C23</x:f>
        <x:v>3.551056698496102</x:v>
      </x:c>
      <x:c r="D24" s="58" t="n">
        <x:f>D22*D23</x:f>
        <x:v>1.3997647580923454</x:v>
      </x:c>
      <x:c r="E24" s="58" t="n">
        <x:f>E22*E23</x:f>
        <x:v>1.659745041230902</x:v>
      </x:c>
      <x:c r="F24" s="58" t="n">
        <x:f>F22*F23</x:f>
        <x:v>2.48938781121607</x:v>
      </x:c>
      <x:c r="G24" s="58" t="n">
        <x:f>G22*G23</x:f>
        <x:v>3.0016618735318645</x:v>
      </x:c>
    </x:row>
    <x:row r="25">
      <x:c r="A25" t="str">
        <x:v>净利润</x:v>
      </x:c>
      <x:c r="B25" s="58" t="n">
        <x:f>'历史与FY26桥'!F13</x:f>
        <x:v>9.578</x:v>
      </x:c>
      <x:c r="C25" s="58" t="n">
        <x:f>C22-C24</x:f>
        <x:v>19.358986517607782</x:v>
      </x:c>
      <x:c r="D25" s="58" t="n">
        <x:f>D22-D24</x:f>
        <x:v>7.3487649799848125</x:v>
      </x:c>
      <x:c r="E25" s="58" t="n">
        <x:f>E22-E24</x:f>
        <x:v>8.103461083656756</x:v>
      </x:c>
      <x:c r="F25" s="58" t="n">
        <x:f>F22-F24</x:f>
        <x:v>11.340544473317653</x:v>
      </x:c>
      <x:c r="G25" s="58" t="n">
        <x:f>G22-G24</x:f>
        <x:v>13.674237423867384</x:v>
      </x:c>
    </x:row>
    <x:row r="26">
      <x:c r="A26" t="str">
        <x:v>稀释股数（百万）</x:v>
      </x:c>
      <x:c r="B26" s="60" t="n">
        <x:f>'历史与FY26桥'!F14</x:f>
        <x:v>155</x:v>
      </x:c>
      <x:c r="C26" s="60" t="n">
        <x:f>'FY28-31驱动'!B29</x:f>
        <x:v>156</x:v>
      </x:c>
      <x:c r="D26" s="60" t="n">
        <x:f>'FY28-31驱动'!C29</x:f>
        <x:v>154</x:v>
      </x:c>
      <x:c r="E26" s="60" t="n">
        <x:f>'FY28-31驱动'!D29</x:f>
        <x:v>153</x:v>
      </x:c>
      <x:c r="F26" s="60" t="n">
        <x:f>'FY28-31驱动'!E29</x:f>
        <x:v>152</x:v>
      </x:c>
      <x:c r="G26" s="60" t="n">
        <x:f>'FY28-31驱动'!F29</x:f>
        <x:v>151</x:v>
      </x:c>
    </x:row>
    <x:row r="27">
      <x:c r="A27" t="str">
        <x:v>EPS</x:v>
      </x:c>
      <x:c r="B27" s="61" t="n">
        <x:f>B25*1000/B26</x:f>
        <x:v>61.79354838709678</x:v>
      </x:c>
      <x:c r="C27" s="61" t="n">
        <x:f>C25*1000/C26</x:f>
        <x:v>124.09606742056272</x:v>
      </x:c>
      <x:c r="D27" s="61" t="n">
        <x:f>D25*1000/D26</x:f>
        <x:v>47.71925311678449</x:v>
      </x:c>
      <x:c r="E27" s="61" t="n">
        <x:f>E25*1000/E26</x:f>
        <x:v>52.96379793239709</x:v>
      </x:c>
      <x:c r="F27" s="61" t="n">
        <x:f>F25*1000/F26</x:f>
        <x:v>74.60884521919509</x:v>
      </x:c>
      <x:c r="G27" s="61" t="n">
        <x:f>G25*1000/G26</x:f>
        <x:v>90.55786373422109</x:v>
      </x:c>
    </x:row>
    <x:row r="28">
      <x:c r="A28" t="str">
        <x:v>净利润率</x:v>
      </x:c>
      <x:c r="B28" s="59" t="n">
        <x:f>B25/B9</x:f>
        <x:v>0.4967069439402582</x:v>
      </x:c>
      <x:c r="C28" s="59" t="n">
        <x:f>C25/C9</x:f>
        <x:v>0.6142289358347045</x:v>
      </x:c>
      <x:c r="D28" s="59" t="n">
        <x:f>D25/D9</x:f>
        <x:v>0.3563370394933997</x:v>
      </x:c>
      <x:c r="E28" s="59" t="n">
        <x:f>E25/E9</x:f>
        <x:v>0.37227813284471617</x:v>
      </x:c>
      <x:c r="F28" s="59" t="n">
        <x:f>F25/F9</x:f>
        <x:v>0.4360376012015839</x:v>
      </x:c>
      <x:c r="G28" s="59" t="n">
        <x:f>G25/G9</x:f>
        <x:v>0.4668803082103758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8" customHeight="1">
      <x:c r="A1" s="4" t="str">
        <x:v>现金流、经济资本与资本配置</x:v>
      </x:c>
      <x:c r="B1" s="4" t="str">
        <x:v>现金流、经济资本与资本配置</x:v>
      </x:c>
      <x:c r="C1" s="4" t="str">
        <x:v>现金流、经济资本与资本配置</x:v>
      </x:c>
      <x:c r="D1" s="4" t="str">
        <x:v>现金流、经济资本与资本配置</x:v>
      </x:c>
      <x:c r="E1" s="4" t="str">
        <x:v>现金流、经济资本与资本配置</x:v>
      </x:c>
      <x:c r="F1" s="4" t="str">
        <x:v>现金流、经济资本与资本配置</x:v>
      </x:c>
      <x:c r="G1" s="4" t="str">
        <x:v>现金流、经济资本与资本配置</x:v>
      </x:c>
      <x:c r="H1" s="4" t="str">
        <x:v>现金流、经济资本与资本配置</x:v>
      </x:c>
      <x:c r="I1" s="4" t="str">
        <x:v>现金流、经济资本与资本配置</x:v>
      </x:c>
      <x:c r="J1" s="4" t="str">
        <x:v>现金流、经济资本与资本配置</x:v>
      </x:c>
    </x:row>
    <x:row r="2" ht="35" customHeight="1">
      <x:c r="A2" s="11" t="str">
        <x:v>普通晶圆采购和固定制造成本已经进入COGS，不能再次全部扣FCF；这里只扣增量资本性FV投入、直接CapEx和营运资金。</x:v>
      </x:c>
      <x:c r="B2" s="11" t="str">
        <x:v>普通晶圆采购和固定制造成本已经进入COGS，不能再次全部扣FCF；这里只扣增量资本性FV投入、直接CapEx和营运资金。</x:v>
      </x:c>
      <x:c r="C2" s="11" t="str">
        <x:v>普通晶圆采购和固定制造成本已经进入COGS，不能再次全部扣FCF；这里只扣增量资本性FV投入、直接CapEx和营运资金。</x:v>
      </x:c>
      <x:c r="D2" s="11" t="str">
        <x:v>普通晶圆采购和固定制造成本已经进入COGS，不能再次全部扣FCF；这里只扣增量资本性FV投入、直接CapEx和营运资金。</x:v>
      </x:c>
      <x:c r="E2" s="11" t="str">
        <x:v>普通晶圆采购和固定制造成本已经进入COGS，不能再次全部扣FCF；这里只扣增量资本性FV投入、直接CapEx和营运资金。</x:v>
      </x:c>
      <x:c r="F2" s="11" t="str">
        <x:v>普通晶圆采购和固定制造成本已经进入COGS，不能再次全部扣FCF；这里只扣增量资本性FV投入、直接CapEx和营运资金。</x:v>
      </x:c>
      <x:c r="G2" s="11" t="str">
        <x:v>普通晶圆采购和固定制造成本已经进入COGS，不能再次全部扣FCF；这里只扣增量资本性FV投入、直接CapEx和营运资金。</x:v>
      </x:c>
      <x:c r="H2" s="11" t="str">
        <x:v>普通晶圆采购和固定制造成本已经进入COGS，不能再次全部扣FCF；这里只扣增量资本性FV投入、直接CapEx和营运资金。</x:v>
      </x:c>
      <x:c r="I2" s="11" t="str">
        <x:v>普通晶圆采购和固定制造成本已经进入COGS，不能再次全部扣FCF；这里只扣增量资本性FV投入、直接CapEx和营运资金。</x:v>
      </x:c>
      <x:c r="J2" s="11" t="str">
        <x:v>普通晶圆采购和固定制造成本已经进入COGS，不能再次全部扣FCF；这里只扣增量资本性FV投入、直接CapEx和营运资金。</x:v>
      </x:c>
    </x:row>
    <x:row r="4" ht="28" customHeight="1">
      <x:c r="A4" t="str">
        <x:v>十亿美元</x:v>
      </x:c>
      <x:c r="B4" s="20" t="str">
        <x:v>FY2027E</x:v>
      </x:c>
      <x:c r="C4" s="20" t="str">
        <x:v>FY2028E</x:v>
      </x:c>
      <x:c r="D4" s="20" t="str">
        <x:v>FY2029E</x:v>
      </x:c>
      <x:c r="E4" s="20" t="str">
        <x:v>FY2030E</x:v>
      </x:c>
      <x:c r="F4" s="20" t="str">
        <x:v>FY2031E</x:v>
      </x:c>
    </x:row>
    <x:row r="5">
      <x:c r="A5" t="str">
        <x:v>净利润</x:v>
      </x:c>
      <x:c r="B5" s="33" t="n">
        <x:f>'五年损益'!C25</x:f>
        <x:v>19.358986517607782</x:v>
      </x:c>
      <x:c r="C5" s="33" t="n">
        <x:f>'五年损益'!D25</x:f>
        <x:v>7.3487649799848125</x:v>
      </x:c>
      <x:c r="D5" s="33" t="n">
        <x:f>'五年损益'!E25</x:f>
        <x:v>8.103461083656756</x:v>
      </x:c>
      <x:c r="E5" s="33" t="n">
        <x:f>'五年损益'!F25</x:f>
        <x:v>11.340544473317653</x:v>
      </x:c>
      <x:c r="F5" s="33" t="n">
        <x:f>'五年损益'!G25</x:f>
        <x:v>13.674237423867384</x:v>
      </x:c>
    </x:row>
    <x:row r="6">
      <x:c r="A6" t="str">
        <x:v>D&amp;A＋SBC</x:v>
      </x:c>
      <x:c r="B6" s="33" t="n">
        <x:f>'FY28-31驱动'!B30</x:f>
        <x:v>0.45</x:v>
      </x:c>
      <x:c r="C6" s="33" t="n">
        <x:f>'FY28-31驱动'!C30</x:f>
        <x:v>0.5</x:v>
      </x:c>
      <x:c r="D6" s="33" t="n">
        <x:f>'FY28-31驱动'!D30</x:f>
        <x:v>0.55</x:v>
      </x:c>
      <x:c r="E6" s="33" t="n">
        <x:f>'FY28-31驱动'!E30</x:f>
        <x:v>0.6</x:v>
      </x:c>
      <x:c r="F6" s="33" t="n">
        <x:f>'FY28-31驱动'!F30</x:f>
        <x:v>0.65</x:v>
      </x:c>
    </x:row>
    <x:row r="7">
      <x:c r="A7" t="str">
        <x:v>营运资金投资（释放为负）</x:v>
      </x:c>
      <x:c r="B7" s="33" t="n">
        <x:f>'FY28-31驱动'!B31</x:f>
        <x:v>1</x:v>
      </x:c>
      <x:c r="C7" s="33" t="n">
        <x:f>'FY28-31驱动'!C31</x:f>
        <x:v>-1.5</x:v>
      </x:c>
      <x:c r="D7" s="33" t="n">
        <x:f>'FY28-31驱动'!D31</x:f>
        <x:v>0</x:v>
      </x:c>
      <x:c r="E7" s="33" t="n">
        <x:f>'FY28-31驱动'!E31</x:f>
        <x:v>0.3</x:v>
      </x:c>
      <x:c r="F7" s="33" t="n">
        <x:f>'FY28-31驱动'!F31</x:f>
        <x:v>0.5</x:v>
      </x:c>
    </x:row>
    <x:row r="8">
      <x:c r="A8" t="str">
        <x:v>经营现金流（简化）</x:v>
      </x:c>
      <x:c r="B8" s="33" t="n">
        <x:f>B5+B6-B7</x:f>
        <x:v>18.80898651760778</x:v>
      </x:c>
      <x:c r="C8" s="33" t="n">
        <x:f>C5+C6-C7</x:f>
        <x:v>9.348764979984812</x:v>
      </x:c>
      <x:c r="D8" s="33" t="n">
        <x:f>D5+D6-D7</x:f>
        <x:v>8.653461083656756</x:v>
      </x:c>
      <x:c r="E8" s="33" t="n">
        <x:f>E5+E6-E7</x:f>
        <x:v>11.640544473317652</x:v>
      </x:c>
      <x:c r="F8" s="33" t="n">
        <x:f>F5+F6-F7</x:f>
        <x:v>13.824237423867384</x:v>
      </x:c>
    </x:row>
    <x:row r="9">
      <x:c r="A9" t="str">
        <x:v>表内CapEx</x:v>
      </x:c>
      <x:c r="B9" s="33" t="n">
        <x:f>'FY28-31驱动'!B32</x:f>
        <x:v>0.25</x:v>
      </x:c>
      <x:c r="C9" s="33" t="n">
        <x:f>'FY28-31驱动'!C32</x:f>
        <x:v>0.3</x:v>
      </x:c>
      <x:c r="D9" s="33" t="n">
        <x:f>'FY28-31驱动'!D32</x:f>
        <x:v>0.35</x:v>
      </x:c>
      <x:c r="E9" s="33" t="n">
        <x:f>'FY28-31驱动'!E32</x:f>
        <x:v>0.4</x:v>
      </x:c>
      <x:c r="F9" s="33" t="n">
        <x:f>'FY28-31驱动'!F32</x:f>
        <x:v>0.45</x:v>
      </x:c>
    </x:row>
    <x:row r="10">
      <x:c r="A10" t="str">
        <x:v>FV增量资本性投入</x:v>
      </x:c>
      <x:c r="B10" s="33" t="n">
        <x:f>'FY28-31驱动'!B33</x:f>
        <x:v>0.45</x:v>
      </x:c>
      <x:c r="C10" s="33" t="n">
        <x:f>'FY28-31驱动'!C33</x:f>
        <x:v>0.6</x:v>
      </x:c>
      <x:c r="D10" s="33" t="n">
        <x:f>'FY28-31驱动'!D33</x:f>
        <x:v>0.55</x:v>
      </x:c>
      <x:c r="E10" s="33" t="n">
        <x:f>'FY28-31驱动'!E33</x:f>
        <x:v>0.45</x:v>
      </x:c>
      <x:c r="F10" s="33" t="n">
        <x:f>'FY28-31驱动'!F33</x:f>
        <x:v>0.4</x:v>
      </x:c>
    </x:row>
    <x:row r="11">
      <x:c r="A11" t="str">
        <x:v>自由现金流</x:v>
      </x:c>
      <x:c r="B11" s="33" t="n">
        <x:f>B8-B9-B10</x:f>
        <x:v>18.108986517607782</x:v>
      </x:c>
      <x:c r="C11" s="33" t="n">
        <x:f>C8-C9-C10</x:f>
        <x:v>8.448764979984812</x:v>
      </x:c>
      <x:c r="D11" s="33" t="n">
        <x:f>D8-D9-D10</x:f>
        <x:v>7.753461083656757</x:v>
      </x:c>
      <x:c r="E11" s="33" t="n">
        <x:f>E8-E9-E10</x:f>
        <x:v>10.790544473317652</x:v>
      </x:c>
      <x:c r="F11" s="33" t="n">
        <x:f>F8-F9-F10</x:f>
        <x:v>12.974237423867384</x:v>
      </x:c>
    </x:row>
    <x:row r="12">
      <x:c r="A12" t="str">
        <x:v>回购金额</x:v>
      </x:c>
      <x:c r="B12" s="33" t="n">
        <x:f>'FY28-31驱动'!B34</x:f>
        <x:v>3</x:v>
      </x:c>
      <x:c r="C12" s="33" t="n">
        <x:f>'FY28-31驱动'!C34</x:f>
        <x:v>2.5</x:v>
      </x:c>
      <x:c r="D12" s="33" t="n">
        <x:f>'FY28-31驱动'!D34</x:f>
        <x:v>0</x:v>
      </x:c>
      <x:c r="E12" s="33" t="n">
        <x:f>'FY28-31驱动'!E34</x:f>
        <x:v>0</x:v>
      </x:c>
      <x:c r="F12" s="33" t="n">
        <x:f>'FY28-31驱动'!F34</x:f>
        <x:v>0</x:v>
      </x:c>
    </x:row>
    <x:row r="13">
      <x:c r="A13" t="str">
        <x:v>期末净现金（机械）</x:v>
      </x:c>
      <x:c r="B13" s="33" t="n">
        <x:f>5.8+B11-B12</x:f>
        <x:v>20.908986517607783</x:v>
      </x:c>
      <x:c r="C13" s="33" t="n">
        <x:f>B13+C11-C12</x:f>
        <x:v>26.857751497592595</x:v>
      </x:c>
      <x:c r="D13" s="33" t="n">
        <x:f>C13+D11-D12</x:f>
        <x:v>34.611212581249355</x:v>
      </x:c>
      <x:c r="E13" s="33" t="n">
        <x:f>D13+E11-E12</x:f>
        <x:v>45.40175705456701</x:v>
      </x:c>
      <x:c r="F13" s="33" t="n">
        <x:f>E13+F11-F12</x:f>
        <x:v>58.37599447843439</x:v>
      </x:c>
    </x:row>
    <x:row r="14">
      <x:c r="A14" t="str">
        <x:v>经济资本强度（CapEx＋FV/收入）</x:v>
      </x:c>
      <x:c r="B14" s="37" t="n">
        <x:f>(B9+B10)/'五年损益'!C9</x:f>
        <x:v>0.02220985353201351</x:v>
      </x:c>
      <x:c r="C14" s="37" t="n">
        <x:f>(C9+C10)/'五年损益'!D9</x:f>
        <x:v>0.04364043977695997</x:v>
      </x:c>
      <x:c r="D14" s="37" t="n">
        <x:f>(D9+D10)/'五年损益'!E9</x:f>
        <x:v>0.04134656983001765</x:v>
      </x:c>
      <x:c r="E14" s="37" t="n">
        <x:f>(E9+E10)/'五年损益'!F9</x:f>
        <x:v>0.03268202526725057</x:v>
      </x:c>
      <x:c r="F14" s="37" t="n">
        <x:f>(F9+F10)/'五年损益'!G9</x:f>
        <x:v>0.0290216009622701</x:v>
      </x:c>
    </x:row>
    <x:row r="15">
      <x:c r="A15" t="str">
        <x:v>FCF/净利润</x:v>
      </x:c>
      <x:c r="B15" s="37" t="n">
        <x:f>B11/B5</x:f>
        <x:v>0.9354305041297966</x:v>
      </x:c>
      <x:c r="C15" s="37" t="n">
        <x:f>C11/C5</x:f>
        <x:v>1.1496850155088607</x:v>
      </x:c>
      <x:c r="D15" s="37" t="n">
        <x:f>D11/D5</x:f>
        <x:v>0.9568085789039098</x:v>
      </x:c>
      <x:c r="E15" s="37" t="n">
        <x:f>E11/E5</x:f>
        <x:v>0.9515014467520447</x:v>
      </x:c>
      <x:c r="F15" s="37" t="n">
        <x:f>F11/F5</x:f>
        <x:v>0.9488088455464287</x:v>
      </x:c>
    </x:row>
    <x:row r="16">
      <x:c r="A16" t="str">
        <x:v>说明</x:v>
      </x:c>
      <x:c r="B16" s="26" t="str">
        <x:v>FY27高景气现金生成</x:v>
      </x:c>
      <x:c r="C16" s="26" t="str">
        <x:v>FY28价格正常化＋营运资金释放</x:v>
      </x:c>
      <x:c r="D16" s="26" t="str">
        <x:v>周期低位</x:v>
      </x:c>
      <x:c r="E16" s="26" t="str">
        <x:v>DC mix恢复</x:v>
      </x:c>
      <x:c r="F16" s="26" t="str">
        <x:v>未假设新一轮回购授权</x:v>
      </x:c>
    </x:row>
    <x:row r="18" ht="21" customHeight="1">
      <x:c r="A18" s="50" t="str">
        <x:v>FY2026年末净现金起点（E3估计）</x:v>
      </x:c>
      <x:c r="B18" s="50" t="str">
        <x:v>FY2026年末净现金起点（E3估计）</x:v>
      </x:c>
      <x:c r="C18" s="50" t="str">
        <x:v>FY2026年末净现金起点（E3估计）</x:v>
      </x:c>
      <x:c r="D18" s="50" t="str">
        <x:v>FY2026年末净现金起点（E3估计）</x:v>
      </x:c>
      <x:c r="E18" s="50" t="str">
        <x:v>FY2026年末净现金起点（E3估计）</x:v>
      </x:c>
      <x:c r="F18" s="50" t="str">
        <x:v>FY2026年末净现金起点（E3估计）</x:v>
      </x:c>
    </x:row>
    <x:row r="19" ht="28" customHeight="1">
      <x:c r="A19" s="20" t="str">
        <x:v>项目</x:v>
      </x:c>
      <x:c r="B19" s="20" t="str">
        <x:v>数值</x:v>
      </x:c>
      <x:c r="C19" s="20" t="str">
        <x:v>单位</x:v>
      </x:c>
      <x:c r="D19" s="20" t="str">
        <x:v>性质</x:v>
      </x:c>
      <x:c r="E19" s="20" t="str">
        <x:v>用途</x:v>
      </x:c>
      <x:c r="F19" s="20" t="str">
        <x:v>说明</x:v>
      </x:c>
    </x:row>
    <x:row r="20" ht="38" customHeight="1">
      <x:c r="A20" s="26" t="str">
        <x:v>Q3法定现金</x:v>
      </x:c>
      <x:c r="B20" s="86" t="n">
        <x:v>3.735</x:v>
      </x:c>
      <x:c r="C20" s="26" t="str">
        <x:v>十亿美元</x:v>
      </x:c>
      <x:c r="D20" s="26" t="str">
        <x:v>E0</x:v>
      </x:c>
      <x:c r="E20" s="26" t="str">
        <x:v>起点</x:v>
      </x:c>
      <x:c r="F20" s="26" t="str">
        <x:v>2026-04-03</x:v>
      </x:c>
    </x:row>
    <x:row r="21" ht="38" customHeight="1">
      <x:c r="A21" s="26" t="str">
        <x:v>Nanya期后投资</x:v>
      </x:c>
      <x:c r="B21" s="86" t="n">
        <x:v>-0.972</x:v>
      </x:c>
      <x:c r="C21" s="26" t="str">
        <x:v>十亿美元</x:v>
      </x:c>
      <x:c r="D21" s="26" t="str">
        <x:v>E0</x:v>
      </x:c>
      <x:c r="E21" s="26" t="str">
        <x:v>已知期后现金</x:v>
      </x:c>
      <x:c r="F21" s="26" t="str">
        <x:v>2026-04-08支付</x:v>
      </x:c>
    </x:row>
    <x:row r="22" ht="38" customHeight="1">
      <x:c r="A22" s="26" t="str">
        <x:v>Q4现金生成及回购净影响</x:v>
      </x:c>
      <x:c r="B22" s="86" t="n">
        <x:v>3.037</x:v>
      </x:c>
      <x:c r="C22" s="26" t="str">
        <x:v>十亿美元</x:v>
      </x:c>
      <x:c r="D22" s="26" t="str">
        <x:v>E3</x:v>
      </x:c>
      <x:c r="E22" s="26" t="str">
        <x:v>FY26年末桥</x:v>
      </x:c>
      <x:c r="F22" s="26" t="str">
        <x:v>在FY26正式财报前仅为估计</x:v>
      </x:c>
    </x:row>
    <x:row r="23" ht="38" customHeight="1">
      <x:c r="A23" s="26" t="str">
        <x:v>FY26E年末净现金</x:v>
      </x:c>
      <x:c r="B23" s="86" t="n">
        <x:v>5.8</x:v>
      </x:c>
      <x:c r="C23" s="26" t="str">
        <x:v>十亿美元</x:v>
      </x:c>
      <x:c r="D23" s="26" t="str">
        <x:v>E3</x:v>
      </x:c>
      <x:c r="E23" s="26" t="str">
        <x:v>FY27现金滚动起点</x:v>
      </x:c>
      <x:c r="F23" s="26" t="str">
        <x:v>不作为法定资产负债表</x:v>
      </x:c>
    </x:row>
  </x:sheetData>
  <x:mergeCells>
    <x:mergeCell ref="A1:J1"/>
    <x:mergeCell ref="A2:J2"/>
    <x:mergeCell ref="A18:F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3" hidden="0" customWidth="1"/>
    <x:col min="3" max="3" width="24" hidden="0" customWidth="1"/>
    <x:col min="4" max="4" width="24" hidden="0" customWidth="1"/>
    <x:col min="5" max="5" width="35" hidden="0" customWidth="1"/>
    <x:col min="6" max="6" width="34" hidden="0" customWidth="1"/>
    <x:col min="7" max="7" width="22" hidden="0" customWidth="1"/>
    <x:col min="8" max="8" width="28" hidden="0" customWidth="1"/>
    <x:col min="9" max="9" width="34" hidden="0" customWidth="1"/>
    <x:col min="10" max="10" width="10" hidden="0" customWidth="1"/>
  </x:cols>
  <x:sheetData>
    <x:row r="1" ht="28" customHeight="1">
      <x:c r="A1" s="4" t="str">
        <x:v>客户、渠道、合同、产品与Flash Ventures</x:v>
      </x:c>
      <x:c r="B1" s="4" t="str">
        <x:v>客户、渠道、合同、产品与Flash Ventures</x:v>
      </x:c>
      <x:c r="C1" s="4" t="str">
        <x:v>客户、渠道、合同、产品与Flash Ventures</x:v>
      </x:c>
      <x:c r="D1" s="4" t="str">
        <x:v>客户、渠道、合同、产品与Flash Ventures</x:v>
      </x:c>
      <x:c r="E1" s="4" t="str">
        <x:v>客户、渠道、合同、产品与Flash Ventures</x:v>
      </x:c>
      <x:c r="F1" s="4" t="str">
        <x:v>客户、渠道、合同、产品与Flash Ventures</x:v>
      </x:c>
      <x:c r="G1" s="4" t="str">
        <x:v>客户、渠道、合同、产品与Flash Ventures</x:v>
      </x:c>
      <x:c r="H1" s="4" t="str">
        <x:v>客户、渠道、合同、产品与Flash Ventures</x:v>
      </x:c>
      <x:c r="I1" s="4" t="str">
        <x:v>客户、渠道、合同、产品与Flash Ventures</x:v>
      </x:c>
      <x:c r="J1" s="4" t="str">
        <x:v>客户、渠道、合同、产品与Flash Ventures</x:v>
      </x:c>
    </x:row>
    <x:row r="2" ht="35" customHeight="1">
      <x:c r="A2" s="11" t="str">
        <x:v>v7.3吸收Netflix/NVIDIA回测经验：卖给渠道不等于终端需求；需求、供应商奖项、合同和产品阶段分别处理。</x:v>
      </x:c>
      <x:c r="B2" s="11" t="str">
        <x:v>v7.3吸收Netflix/NVIDIA回测经验：卖给渠道不等于终端需求；需求、供应商奖项、合同和产品阶段分别处理。</x:v>
      </x:c>
      <x:c r="C2" s="11" t="str">
        <x:v>v7.3吸收Netflix/NVIDIA回测经验：卖给渠道不等于终端需求；需求、供应商奖项、合同和产品阶段分别处理。</x:v>
      </x:c>
      <x:c r="D2" s="11" t="str">
        <x:v>v7.3吸收Netflix/NVIDIA回测经验：卖给渠道不等于终端需求；需求、供应商奖项、合同和产品阶段分别处理。</x:v>
      </x:c>
      <x:c r="E2" s="11" t="str">
        <x:v>v7.3吸收Netflix/NVIDIA回测经验：卖给渠道不等于终端需求；需求、供应商奖项、合同和产品阶段分别处理。</x:v>
      </x:c>
      <x:c r="F2" s="11" t="str">
        <x:v>v7.3吸收Netflix/NVIDIA回测经验：卖给渠道不等于终端需求；需求、供应商奖项、合同和产品阶段分别处理。</x:v>
      </x:c>
      <x:c r="G2" s="11" t="str">
        <x:v>v7.3吸收Netflix/NVIDIA回测经验：卖给渠道不等于终端需求；需求、供应商奖项、合同和产品阶段分别处理。</x:v>
      </x:c>
      <x:c r="H2" s="11" t="str">
        <x:v>v7.3吸收Netflix/NVIDIA回测经验：卖给渠道不等于终端需求；需求、供应商奖项、合同和产品阶段分别处理。</x:v>
      </x:c>
      <x:c r="I2" s="11" t="str">
        <x:v>v7.3吸收Netflix/NVIDIA回测经验：卖给渠道不等于终端需求；需求、供应商奖项、合同和产品阶段分别处理。</x:v>
      </x:c>
      <x:c r="J2" s="11" t="str">
        <x:v>v7.3吸收Netflix/NVIDIA回测经验：卖给渠道不等于终端需求；需求、供应商奖项、合同和产品阶段分别处理。</x:v>
      </x:c>
    </x:row>
    <x:row r="4" ht="21" customHeight="1">
      <x:c r="A4" s="50" t="str">
        <x:v>一、客户与渠道状态</x:v>
      </x:c>
      <x:c r="B4" s="50" t="str">
        <x:v>一、客户与渠道状态</x:v>
      </x:c>
      <x:c r="C4" s="50" t="str">
        <x:v>一、客户与渠道状态</x:v>
      </x:c>
      <x:c r="D4" s="50" t="str">
        <x:v>一、客户与渠道状态</x:v>
      </x:c>
      <x:c r="E4" s="50" t="str">
        <x:v>一、客户与渠道状态</x:v>
      </x:c>
      <x:c r="F4" s="50" t="str">
        <x:v>一、客户与渠道状态</x:v>
      </x:c>
      <x:c r="G4" s="50" t="str">
        <x:v>一、客户与渠道状态</x:v>
      </x:c>
      <x:c r="H4" s="50" t="str">
        <x:v>一、客户与渠道状态</x:v>
      </x:c>
      <x:c r="I4" s="50" t="str">
        <x:v>一、客户与渠道状态</x:v>
      </x:c>
      <x:c r="J4" s="50" t="str">
        <x:v>一、客户与渠道状态</x:v>
      </x:c>
    </x:row>
    <x:row r="5" ht="28" customHeight="1">
      <x:c r="A5" s="20" t="str">
        <x:v>需求池</x:v>
      </x:c>
      <x:c r="B5" s="20" t="str">
        <x:v>官方事实</x:v>
      </x:c>
      <x:c r="C5" s="20" t="str">
        <x:v>Base处理</x:v>
      </x:c>
      <x:c r="D5" s="20" t="str">
        <x:v>Bull处理</x:v>
      </x:c>
      <x:c r="E5" s="20" t="str">
        <x:v>下行风险</x:v>
      </x:c>
      <x:c r="F5" s="20" t="str">
        <x:v>关键数据</x:v>
      </x:c>
      <x:c r="G5" s="20" t="str">
        <x:v>证据等级</x:v>
      </x:c>
      <x:c r="H5" s="20" t="str">
        <x:v>来源</x:v>
      </x:c>
      <x:c r="I5" s="20" t="str">
        <x:v>结论</x:v>
      </x:c>
    </x:row>
    <x:row r="6" ht="58" customHeight="1">
      <x:c r="A6" s="26" t="str">
        <x:v>Hyperscaler/AI建设者</x:v>
      </x:c>
      <x:c r="B6" s="26" t="str">
        <x:v>5家接洽、部分资格；DC收入加速</x:v>
      </x:c>
      <x:c r="C6" s="26" t="str">
        <x:v>只按DC bit/ASP，不认定客户份额</x:v>
      </x:c>
      <x:c r="D6" s="26" t="str">
        <x:v>多客户量产/高attach</x:v>
      </x:c>
      <x:c r="E6" s="26" t="str">
        <x:v>资格延迟/第二供应</x:v>
      </x:c>
      <x:c r="F6" s="26" t="str">
        <x:v>季度DC收入/客户数</x:v>
      </x:c>
      <x:c r="G6" s="26" t="str">
        <x:v>E1/E3</x:v>
      </x:c>
      <x:c r="H6" s="26" t="str">
        <x:v>Q1–Q3财报</x:v>
      </x:c>
      <x:c r="I6" s="26" t="str">
        <x:v>长期核心</x:v>
      </x:c>
    </x:row>
    <x:row r="7" ht="58" customHeight="1">
      <x:c r="A7" s="26" t="str">
        <x:v>Edge渠道</x:v>
      </x:c>
      <x:c r="B7" s="26" t="str">
        <x:v>FY26 Q3收入和价格异常高</x:v>
      </x:c>
      <x:c r="C7" s="26" t="str">
        <x:v>FY27 H2 bit sell-in可转负</x:v>
      </x:c>
      <x:c r="D7" s="26" t="str">
        <x:v>终端AI PC/手机改善</x:v>
      </x:c>
      <x:c r="E7" s="26" t="str">
        <x:v>渠道库存/价格促销</x:v>
      </x:c>
      <x:c r="F7" s="26" t="str">
        <x:v>sell-through/库存周数</x:v>
      </x:c>
      <x:c r="G7" s="26" t="str">
        <x:v>E0/E3</x:v>
      </x:c>
      <x:c r="H7" s="26" t="str">
        <x:v>财报/渠道</x:v>
      </x:c>
      <x:c r="I7" s="26" t="str">
        <x:v>最大周期风险</x:v>
      </x:c>
    </x:row>
    <x:row r="8" ht="58" customHeight="1">
      <x:c r="A8" s="26" t="str">
        <x:v>Consumer/Retail</x:v>
      </x:c>
      <x:c r="B8" s="26" t="str">
        <x:v>Q3收入环比下降</x:v>
      </x:c>
      <x:c r="C8" s="26" t="str">
        <x:v>低bit、ASP持续回落</x:v>
      </x:c>
      <x:c r="D8" s="26" t="str">
        <x:v>品牌/容量提升</x:v>
      </x:c>
      <x:c r="E8" s="26" t="str">
        <x:v>渠道去库存/价格战</x:v>
      </x:c>
      <x:c r="F8" s="26" t="str">
        <x:v>终端sell-through</x:v>
      </x:c>
      <x:c r="G8" s="26" t="str">
        <x:v>E0/E3</x:v>
      </x:c>
      <x:c r="H8" s="26" t="str">
        <x:v>财报</x:v>
      </x:c>
      <x:c r="I8" s="26" t="str">
        <x:v>不以AI叙事覆盖</x:v>
      </x:c>
    </x:row>
    <x:row r="9" ht="58" customHeight="1">
      <x:c r="A9" s="26" t="str">
        <x:v>NBM/LTA</x:v>
      </x:c>
      <x:c r="B9" s="26" t="str">
        <x:v>5份协议、firm financial commitments</x:v>
      </x:c>
      <x:c r="C9" s="26" t="str">
        <x:v>提高执行可见性，产品锁价比例=0</x:v>
      </x:c>
      <x:c r="D9" s="26" t="str">
        <x:v>披露floor/take-or-pay后上修</x:v>
      </x:c>
      <x:c r="E9" s="26" t="str">
        <x:v>重谈/确认延后</x:v>
      </x:c>
      <x:c r="F9" s="26" t="str">
        <x:v>数量、价格、期限</x:v>
      </x:c>
      <x:c r="G9" s="26" t="str">
        <x:v>E1</x:v>
      </x:c>
      <x:c r="H9" s="26" t="str">
        <x:v>Q3财报/10-Q</x:v>
      </x:c>
      <x:c r="I9" s="26" t="str">
        <x:v>需Investor Day</x:v>
      </x:c>
    </x:row>
    <x:row r="10" ht="58" customHeight="1">
      <x:c r="A10" s="26" t="str">
        <x:v>RPO</x:v>
      </x:c>
      <x:c r="B10" s="26" t="str">
        <x:v>416亿美元，15%未来12月</x:v>
      </x:c>
      <x:c r="C10" s="26" t="str">
        <x:v>交叉验证，不直接进收入</x:v>
      </x:c>
      <x:c r="D10" s="26" t="str">
        <x:v>新增与确认率上升</x:v>
      </x:c>
      <x:c r="E10" s="26" t="str">
        <x:v>usage/采购低于承诺</x:v>
      </x:c>
      <x:c r="F10" s="26" t="str">
        <x:v>确认额/新增RPO</x:v>
      </x:c>
      <x:c r="G10" s="26" t="str">
        <x:v>E0</x:v>
      </x:c>
      <x:c r="H10" s="26" t="str">
        <x:v>10-Q</x:v>
      </x:c>
      <x:c r="I10" s="26" t="str">
        <x:v>不是GM floor</x:v>
      </x:c>
    </x:row>
    <x:row r="11" ht="58" customHeight="1">
      <x:c r="A11" s="26" t="str">
        <x:v>客户集中</x:v>
      </x:c>
      <x:c r="B11" s="26" t="str">
        <x:v>Top10占Q3收入46%，单一客户&gt;10%</x:v>
      </x:c>
      <x:c r="C11" s="26" t="str">
        <x:v>集中度风险情景</x:v>
      </x:c>
      <x:c r="D11" s="26" t="str">
        <x:v>大客户连续扩量</x:v>
      </x:c>
      <x:c r="E11" s="26" t="str">
        <x:v>议价/采购波动</x:v>
      </x:c>
      <x:c r="F11" s="26" t="str">
        <x:v>Top10/大客户比例</x:v>
      </x:c>
      <x:c r="G11" s="26" t="str">
        <x:v>E0</x:v>
      </x:c>
      <x:c r="H11" s="26" t="str">
        <x:v>10-Q</x:v>
      </x:c>
      <x:c r="I11" s="26" t="str">
        <x:v>需单客户敏感性</x:v>
      </x:c>
    </x:row>
    <x:row r="13" ht="21" customHeight="1">
      <x:c r="A13" s="50" t="str">
        <x:v>二、产品阶段</x:v>
      </x:c>
      <x:c r="B13" s="50" t="str">
        <x:v>二、产品阶段</x:v>
      </x:c>
      <x:c r="C13" s="50" t="str">
        <x:v>二、产品阶段</x:v>
      </x:c>
      <x:c r="D13" s="50" t="str">
        <x:v>二、产品阶段</x:v>
      </x:c>
      <x:c r="E13" s="50" t="str">
        <x:v>二、产品阶段</x:v>
      </x:c>
      <x:c r="F13" s="50" t="str">
        <x:v>二、产品阶段</x:v>
      </x:c>
      <x:c r="G13" s="50" t="str">
        <x:v>二、产品阶段</x:v>
      </x:c>
      <x:c r="H13" s="50" t="str">
        <x:v>二、产品阶段</x:v>
      </x:c>
      <x:c r="I13" s="50" t="str">
        <x:v>二、产品阶段</x:v>
      </x:c>
      <x:c r="J13" s="50" t="str">
        <x:v>二、产品阶段</x:v>
      </x:c>
    </x:row>
    <x:row r="14" ht="28" customHeight="1">
      <x:c r="A14" s="20" t="str">
        <x:v>产品/节点</x:v>
      </x:c>
      <x:c r="B14" s="20" t="str">
        <x:v>阶段</x:v>
      </x:c>
      <x:c r="C14" s="20" t="str">
        <x:v>Base收入</x:v>
      </x:c>
      <x:c r="D14" s="20" t="str">
        <x:v>Base成本</x:v>
      </x:c>
      <x:c r="E14" s="20" t="str">
        <x:v>Bull权限</x:v>
      </x:c>
      <x:c r="F14" s="20" t="str">
        <x:v>升级证据</x:v>
      </x:c>
      <x:c r="G14" s="20" t="str">
        <x:v>降级证据</x:v>
      </x:c>
      <x:c r="H14" s="20" t="str">
        <x:v>来源</x:v>
      </x:c>
      <x:c r="I14" s="20" t="str">
        <x:v>结论</x:v>
      </x:c>
    </x:row>
    <x:row r="15" ht="58" customHeight="1">
      <x:c r="A15" s="26" t="str">
        <x:v>TLC企业SSD</x:v>
      </x:c>
      <x:c r="B15" s="26" t="str">
        <x:v>Stage 4</x:v>
      </x:c>
      <x:c r="C15" s="26" t="str">
        <x:v>含在DC</x:v>
      </x:c>
      <x:c r="D15" s="26" t="str">
        <x:v>分市场cost</x:v>
      </x:c>
      <x:c r="E15" s="26" t="str">
        <x:v>更高份额</x:v>
      </x:c>
      <x:c r="F15" s="26" t="str">
        <x:v>连续多客户收入</x:v>
      </x:c>
      <x:c r="G15" s="26" t="str">
        <x:v>份额/价格下滑</x:v>
      </x:c>
      <x:c r="H15" s="26" t="str">
        <x:v>Q2/Q3财报</x:v>
      </x:c>
      <x:c r="I15" s="26" t="str">
        <x:v>基准核心</x:v>
      </x:c>
    </x:row>
    <x:row r="16" ht="58" customHeight="1">
      <x:c r="A16" s="26" t="str">
        <x:v>QLC Stargate</x:v>
      </x:c>
      <x:c r="B16" s="26" t="str">
        <x:v>Stage 2–3</x:v>
      </x:c>
      <x:c r="C16" s="26" t="str">
        <x:v>含在DC bit，不单列</x:v>
      </x:c>
      <x:c r="D16" s="26" t="str">
        <x:v>有限mix优势</x:v>
      </x:c>
      <x:c r="E16" s="26" t="str">
        <x:v>更快放量</x:v>
      </x:c>
      <x:c r="F16" s="26" t="str">
        <x:v>实际收入/客户/持续爬坡</x:v>
      </x:c>
      <x:c r="G16" s="26" t="str">
        <x:v>延期/小批量</x:v>
      </x:c>
      <x:c r="H16" s="26" t="str">
        <x:v>Q3财报</x:v>
      </x:c>
      <x:c r="I16" s="26" t="str">
        <x:v>防重复计量</x:v>
      </x:c>
    </x:row>
    <x:row r="17" ht="58" customHeight="1">
      <x:c r="A17" s="26" t="str">
        <x:v>BiCS8</x:v>
      </x:c>
      <x:c r="B17" s="26" t="str">
        <x:v>Stage 4</x:v>
      </x:c>
      <x:c r="C17" s="26" t="str">
        <x:v>不单列</x:v>
      </x:c>
      <x:c r="D17" s="26" t="str">
        <x:v>FY27技术cost下降</x:v>
      </x:c>
      <x:c r="E17" s="26" t="str">
        <x:v>同Base</x:v>
      </x:c>
      <x:c r="F17" s="26" t="str">
        <x:v>bit占比/成本</x:v>
      </x:c>
      <x:c r="G17" s="26" t="str">
        <x:v>良率问题</x:v>
      </x:c>
      <x:c r="H17" s="26" t="str">
        <x:v>Q1财报</x:v>
      </x:c>
      <x:c r="I17" s="26" t="str">
        <x:v>基准节点</x:v>
      </x:c>
    </x:row>
    <x:row r="18" ht="58" customHeight="1">
      <x:c r="A18" s="26" t="str">
        <x:v>BiCS10</x:v>
      </x:c>
      <x:c r="B18" s="26" t="str">
        <x:v>Stage 1</x:v>
      </x:c>
      <x:c r="C18" s="26" t="str">
        <x:v>0</x:v>
      </x:c>
      <x:c r="D18" s="26" t="str">
        <x:v>FY29前不直接降低Base成本</x:v>
      </x:c>
      <x:c r="E18" s="26" t="str">
        <x:v>FY29+成本上行期权</x:v>
      </x:c>
      <x:c r="F18" s="26" t="str">
        <x:v>量产/良率/wafer output</x:v>
      </x:c>
      <x:c r="G18" s="26" t="str">
        <x:v>延期</x:v>
      </x:c>
      <x:c r="H18" s="26" t="str">
        <x:v>BiCS10公告</x:v>
      </x:c>
      <x:c r="I18" s="26" t="str">
        <x:v>密度≠成本</x:v>
      </x:c>
    </x:row>
    <x:row r="19" ht="58" customHeight="1">
      <x:c r="A19" s="26" t="str">
        <x:v>HBF</x:v>
      </x:c>
      <x:c r="B19" s="26" t="str">
        <x:v>Stage 1</x:v>
      </x:c>
      <x:c r="C19" s="26" t="str">
        <x:v>FY27–31为0</x:v>
      </x:c>
      <x:c r="D19" s="26" t="str">
        <x:v>独立开发成本不单列</x:v>
      </x:c>
      <x:c r="E19" s="26" t="str">
        <x:v>Bull单独估值</x:v>
      </x:c>
      <x:c r="F19" s="26" t="str">
        <x:v>具名客户＋量产＋配置/ASP</x:v>
      </x:c>
      <x:c r="G19" s="26" t="str">
        <x:v>标准/性能/认证失败</x:v>
      </x:c>
      <x:c r="H19" s="26" t="str">
        <x:v>HBF公告</x:v>
      </x:c>
      <x:c r="I19" s="26" t="str">
        <x:v>高凸性期权</x:v>
      </x:c>
    </x:row>
    <x:row r="20" ht="58" customHeight="1">
      <x:c r="A20" s="26" t="str">
        <x:v>Nanya DRAM</x:v>
      </x:c>
      <x:c r="B20" s="26" t="str">
        <x:v>供应/投资</x:v>
      </x:c>
      <x:c r="C20" s="26" t="str">
        <x:v>不计NAND收入</x:v>
      </x:c>
      <x:c r="D20" s="26" t="str">
        <x:v>现金/供应桥</x:v>
      </x:c>
      <x:c r="E20" s="26" t="str">
        <x:v>HBF协同期权</x:v>
      </x:c>
      <x:c r="F20" s="26" t="str">
        <x:v>用途/经济性披露</x:v>
      </x:c>
      <x:c r="G20" s="26" t="str">
        <x:v>锁定/价格不利</x:v>
      </x:c>
      <x:c r="H20" s="26" t="str">
        <x:v>10-Q</x:v>
      </x:c>
      <x:c r="I20" s="26" t="str">
        <x:v>不得混入NAND</x:v>
      </x:c>
    </x:row>
    <x:row r="22" ht="21" customHeight="1">
      <x:c r="A22" s="50" t="str">
        <x:v>三、Flash Ventures经济资本</x:v>
      </x:c>
      <x:c r="B22" s="50" t="str">
        <x:v>三、Flash Ventures经济资本</x:v>
      </x:c>
      <x:c r="C22" s="50" t="str">
        <x:v>三、Flash Ventures经济资本</x:v>
      </x:c>
      <x:c r="D22" s="50" t="str">
        <x:v>三、Flash Ventures经济资本</x:v>
      </x:c>
      <x:c r="E22" s="50" t="str">
        <x:v>三、Flash Ventures经济资本</x:v>
      </x:c>
      <x:c r="F22" s="50" t="str">
        <x:v>三、Flash Ventures经济资本</x:v>
      </x:c>
      <x:c r="G22" s="50" t="str">
        <x:v>三、Flash Ventures经济资本</x:v>
      </x:c>
      <x:c r="H22" s="50" t="str">
        <x:v>三、Flash Ventures经济资本</x:v>
      </x:c>
      <x:c r="I22" s="50" t="str">
        <x:v>三、Flash Ventures经济资本</x:v>
      </x:c>
      <x:c r="J22" s="50" t="str">
        <x:v>三、Flash Ventures经济资本</x:v>
      </x:c>
    </x:row>
    <x:row r="23" ht="28" customHeight="1">
      <x:c r="A23" s="20" t="str">
        <x:v>项目</x:v>
      </x:c>
      <x:c r="B23" s="20" t="str">
        <x:v>法定事实</x:v>
      </x:c>
      <x:c r="C23" s="20" t="str">
        <x:v>P&amp;L位置</x:v>
      </x:c>
      <x:c r="D23" s="20" t="str">
        <x:v>现金位置</x:v>
      </x:c>
      <x:c r="E23" s="20" t="str">
        <x:v>Base处理</x:v>
      </x:c>
      <x:c r="F23" s="20" t="str">
        <x:v>双算风险</x:v>
      </x:c>
      <x:c r="G23" s="20" t="str">
        <x:v>证据</x:v>
      </x:c>
      <x:c r="H23" s="20" t="str">
        <x:v>备注</x:v>
      </x:c>
    </x:row>
    <x:row r="24" ht="50" customHeight="1">
      <x:c r="A24" s="26" t="str">
        <x:v>产出份额</x:v>
      </x:c>
      <x:c r="B24" s="26" t="str">
        <x:v>通常约50%</x:v>
      </x:c>
      <x:c r="C24" s="26" t="str">
        <x:v>库存/COGS</x:v>
      </x:c>
      <x:c r="D24" s="26" t="str">
        <x:v>晶圆付款</x:v>
      </x:c>
      <x:c r="E24" s="26" t="str">
        <x:v>bit供给</x:v>
      </x:c>
      <x:c r="F24" s="26" t="str">
        <x:v>正常采购再扣FCF</x:v>
      </x:c>
      <x:c r="G24" s="26" t="str">
        <x:v>10-Q</x:v>
      </x:c>
      <x:c r="H24" s="26" t="str"/>
    </x:row>
    <x:row r="25" ht="50" customHeight="1">
      <x:c r="A25" s="26" t="str">
        <x:v>固定成本</x:v>
      </x:c>
      <x:c r="B25" s="26" t="str">
        <x:v>无论取货量承担约一半</x:v>
      </x:c>
      <x:c r="C25" s="26" t="str">
        <x:v>COGS/低利用率</x:v>
      </x:c>
      <x:c r="D25" s="26" t="str">
        <x:v>付款</x:v>
      </x:c>
      <x:c r="E25" s="26" t="str">
        <x:v>有效成本/周期费</x:v>
      </x:c>
      <x:c r="F25" s="26" t="str">
        <x:v>既在COGS又扣现金</x:v>
      </x:c>
      <x:c r="G25" s="26" t="str">
        <x:v>10-Q</x:v>
      </x:c>
      <x:c r="H25" s="26" t="str"/>
    </x:row>
    <x:row r="26" ht="50" customHeight="1">
      <x:c r="A26" s="26" t="str">
        <x:v>资本投入</x:v>
      </x:c>
      <x:c r="B26" s="26" t="str">
        <x:v>承担49.9%–50%缺口</x:v>
      </x:c>
      <x:c r="C26" s="26" t="str">
        <x:v>资产/notes</x:v>
      </x:c>
      <x:c r="D26" s="26" t="str">
        <x:v>贷款/权益</x:v>
      </x:c>
      <x:c r="E26" s="26" t="str">
        <x:v>增量FV资本</x:v>
      </x:c>
      <x:c r="F26" s="26" t="str">
        <x:v>把总承诺一次扣除</x:v>
      </x:c>
      <x:c r="G26" s="26" t="str">
        <x:v>10-Q</x:v>
      </x:c>
      <x:c r="H26" s="26" t="str"/>
    </x:row>
    <x:row r="27" ht="50" customHeight="1">
      <x:c r="A27" s="26" t="str">
        <x:v>预付款</x:v>
      </x:c>
      <x:c r="B27" s="26" t="str">
        <x:v>K1/Y7/K2建筑折旧预付款8.56亿余额</x:v>
      </x:c>
      <x:c r="C27" s="26" t="str">
        <x:v>未来COGS</x:v>
      </x:c>
      <x:c r="D27" s="26" t="str">
        <x:v>预付现金</x:v>
      </x:c>
      <x:c r="E27" s="26" t="str">
        <x:v>历史资产/现金桥</x:v>
      </x:c>
      <x:c r="F27" s="26" t="str">
        <x:v>再次计成本</x:v>
      </x:c>
      <x:c r="G27" s="26" t="str">
        <x:v>10-Q</x:v>
      </x:c>
      <x:c r="H27" s="26" t="str"/>
    </x:row>
    <x:row r="28" ht="50" customHeight="1">
      <x:c r="A28" s="26" t="str">
        <x:v>担保</x:v>
      </x:c>
      <x:c r="B28" s="26" t="str">
        <x:v>lease guarantee 9.93亿</x:v>
      </x:c>
      <x:c r="C28" s="26" t="str">
        <x:v>或有</x:v>
      </x:c>
      <x:c r="D28" s="26" t="str">
        <x:v>触发时现金</x:v>
      </x:c>
      <x:c r="E28" s="26" t="str">
        <x:v>Bear风险</x:v>
      </x:c>
      <x:c r="F28" s="26" t="str">
        <x:v>Base直接扣除</x:v>
      </x:c>
      <x:c r="G28" s="26" t="str">
        <x:v>10-Q</x:v>
      </x:c>
      <x:c r="H28" s="26" t="str"/>
    </x:row>
    <x:row r="29" ht="50" customHeight="1">
      <x:c r="A29" s="26" t="str">
        <x:v>总承诺</x:v>
      </x:c>
      <x:c r="B29" s="26" t="str">
        <x:v>FV相关65.43亿；总承诺127.93亿</x:v>
      </x:c>
      <x:c r="C29" s="26" t="str">
        <x:v>多口径</x:v>
      </x:c>
      <x:c r="D29" s="26" t="str">
        <x:v>分年</x:v>
      </x:c>
      <x:c r="E29" s="26" t="str">
        <x:v>监测/情景</x:v>
      </x:c>
      <x:c r="F29" s="26" t="str">
        <x:v>全额重复扣减</x:v>
      </x:c>
      <x:c r="G29" s="26" t="str">
        <x:v>10-Q</x:v>
      </x:c>
      <x:c r="H29" s="26" t="str"/>
    </x:row>
    <x:row r="30" ht="50" customHeight="1">
      <x:c r="A30" s="26" t="str">
        <x:v>Kioxia服务/供给款</x:v>
      </x:c>
      <x:c r="B30" s="26" t="str">
        <x:v>2026–29约12亿美元</x:v>
      </x:c>
      <x:c r="C30" s="26" t="str">
        <x:v>成本/预付视确认</x:v>
      </x:c>
      <x:c r="D30" s="26" t="str">
        <x:v>现金</x:v>
      </x:c>
      <x:c r="E30" s="26" t="str">
        <x:v>不单独重复扣FCF</x:v>
      </x:c>
      <x:c r="F30" s="26" t="str">
        <x:v>COGS＋FCF双扣</x:v>
      </x:c>
      <x:c r="G30" s="26" t="str">
        <x:v>10-Q/JV公告</x:v>
      </x:c>
      <x:c r="H30" s="26" t="str"/>
    </x:row>
    <x:row r="31" ht="50" customHeight="1">
      <x:c r="A31" s="26" t="str">
        <x:v>利用率</x:v>
      </x:c>
      <x:c r="B31" s="26" t="str">
        <x:v>Q3季度无低利用率费</x:v>
      </x:c>
      <x:c r="C31" s="26" t="str">
        <x:v>周期费用</x:v>
      </x:c>
      <x:c r="D31" s="26" t="str">
        <x:v>现金成本</x:v>
      </x:c>
      <x:c r="E31" s="26" t="str">
        <x:v>FY28/29另设周期费</x:v>
      </x:c>
      <x:c r="F31" s="26" t="str">
        <x:v>技术cost混淆</x:v>
      </x:c>
      <x:c r="G31" s="26" t="str">
        <x:v>10-Q</x:v>
      </x:c>
      <x:c r="H31" s="26" t="str"/>
    </x:row>
  </x:sheetData>
  <x:mergeCells>
    <x:mergeCell ref="A1:J1"/>
    <x:mergeCell ref="A2:J2"/>
    <x:mergeCell ref="A4:J4"/>
    <x:mergeCell ref="A13:J13"/>
    <x:mergeCell ref="A22:J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" hidden="0" customWidth="1"/>
    <x:col min="8" max="8" width="17" hidden="0" customWidth="1"/>
    <x:col min="9" max="9" width="15" hidden="0" customWidth="1"/>
    <x:col min="10" max="10" width="38" hidden="0" customWidth="1"/>
  </x:cols>
  <x:sheetData>
    <x:row r="1" ht="28" customHeight="1">
      <x:c r="A1" s="4" t="str">
        <x:v>Bear / Base / Bull情景</x:v>
      </x:c>
      <x:c r="B1" s="4" t="str">
        <x:v>Bear / Base / Bull情景</x:v>
      </x:c>
      <x:c r="C1" s="4" t="str">
        <x:v>Bear / Base / Bull情景</x:v>
      </x:c>
      <x:c r="D1" s="4" t="str">
        <x:v>Bear / Base / Bull情景</x:v>
      </x:c>
      <x:c r="E1" s="4" t="str">
        <x:v>Bear / Base / Bull情景</x:v>
      </x:c>
      <x:c r="F1" s="4" t="str">
        <x:v>Bear / Base / Bull情景</x:v>
      </x:c>
      <x:c r="G1" s="4" t="str">
        <x:v>Bear / Base / Bull情景</x:v>
      </x:c>
      <x:c r="H1" s="4" t="str">
        <x:v>Bear / Base / Bull情景</x:v>
      </x:c>
      <x:c r="I1" s="4" t="str">
        <x:v>Bear / Base / Bull情景</x:v>
      </x:c>
      <x:c r="J1" s="4" t="str">
        <x:v>Bear / Base / Bull情景</x:v>
      </x:c>
    </x:row>
    <x:row r="2" ht="35" customHeight="1">
      <x:c r="A2" s="11" t="str">
        <x:v>Base来自详细模型；Bear计入传统NAND价格崩塌与低利用率；Bull要求价格纪律、AI eSSD份额和HBF阶段跃迁。</x:v>
      </x:c>
      <x:c r="B2" s="11" t="str">
        <x:v>Base来自详细模型；Bear计入传统NAND价格崩塌与低利用率；Bull要求价格纪律、AI eSSD份额和HBF阶段跃迁。</x:v>
      </x:c>
      <x:c r="C2" s="11" t="str">
        <x:v>Base来自详细模型；Bear计入传统NAND价格崩塌与低利用率；Bull要求价格纪律、AI eSSD份额和HBF阶段跃迁。</x:v>
      </x:c>
      <x:c r="D2" s="11" t="str">
        <x:v>Base来自详细模型；Bear计入传统NAND价格崩塌与低利用率；Bull要求价格纪律、AI eSSD份额和HBF阶段跃迁。</x:v>
      </x:c>
      <x:c r="E2" s="11" t="str">
        <x:v>Base来自详细模型；Bear计入传统NAND价格崩塌与低利用率；Bull要求价格纪律、AI eSSD份额和HBF阶段跃迁。</x:v>
      </x:c>
      <x:c r="F2" s="11" t="str">
        <x:v>Base来自详细模型；Bear计入传统NAND价格崩塌与低利用率；Bull要求价格纪律、AI eSSD份额和HBF阶段跃迁。</x:v>
      </x:c>
      <x:c r="G2" s="11" t="str">
        <x:v>Base来自详细模型；Bear计入传统NAND价格崩塌与低利用率；Bull要求价格纪律、AI eSSD份额和HBF阶段跃迁。</x:v>
      </x:c>
      <x:c r="H2" s="11" t="str">
        <x:v>Base来自详细模型；Bear计入传统NAND价格崩塌与低利用率；Bull要求价格纪律、AI eSSD份额和HBF阶段跃迁。</x:v>
      </x:c>
      <x:c r="I2" s="11" t="str">
        <x:v>Base来自详细模型；Bear计入传统NAND价格崩塌与低利用率；Bull要求价格纪律、AI eSSD份额和HBF阶段跃迁。</x:v>
      </x:c>
      <x:c r="J2" s="11" t="str">
        <x:v>Base来自详细模型；Bear计入传统NAND价格崩塌与低利用率；Bull要求价格纪律、AI eSSD份额和HBF阶段跃迁。</x:v>
      </x:c>
    </x:row>
    <x:row r="4" ht="21" customHeight="1">
      <x:c r="A4" s="20" t="str">
        <x:v>情景/指标</x:v>
      </x:c>
      <x:c r="B4" s="20" t="str">
        <x:v>FY2027E</x:v>
      </x:c>
      <x:c r="C4" s="20" t="str">
        <x:v>FY2028E</x:v>
      </x:c>
      <x:c r="D4" s="20" t="str">
        <x:v>FY2029E</x:v>
      </x:c>
      <x:c r="E4" s="20" t="str">
        <x:v>FY2030E</x:v>
      </x:c>
      <x:c r="F4" s="20" t="str">
        <x:v>FY2031E</x:v>
      </x:c>
      <x:c r="H4" s="50" t="str">
        <x:v>情景概率</x:v>
      </x:c>
      <x:c r="I4" s="50" t="str">
        <x:v>情景概率</x:v>
      </x:c>
      <x:c r="J4" s="50" t="str">
        <x:v>情景概率</x:v>
      </x:c>
    </x:row>
    <x:row r="5" ht="28" customHeight="1">
      <x:c r="A5" t="str">
        <x:v>Bear收入</x:v>
      </x:c>
      <x:c r="B5" s="32" t="n">
        <x:v>27</x:v>
      </x:c>
      <x:c r="C5" s="32" t="n">
        <x:v>14</x:v>
      </x:c>
      <x:c r="D5" s="32" t="n">
        <x:v>17</x:v>
      </x:c>
      <x:c r="E5" s="32" t="n">
        <x:v>21</x:v>
      </x:c>
      <x:c r="F5" s="32" t="n">
        <x:v>23</x:v>
      </x:c>
      <x:c r="H5" s="20" t="str">
        <x:v>情景</x:v>
      </x:c>
      <x:c r="I5" s="20" t="str">
        <x:v>概率</x:v>
      </x:c>
      <x:c r="J5" s="20" t="str">
        <x:v>说明</x:v>
      </x:c>
    </x:row>
    <x:row r="6">
      <x:c r="A6" t="str">
        <x:v>Bear毛利率</x:v>
      </x:c>
      <x:c r="B6" s="36" t="n">
        <x:v>0.68</x:v>
      </x:c>
      <x:c r="C6" s="36" t="n">
        <x:v>0.2</x:v>
      </x:c>
      <x:c r="D6" s="36" t="n">
        <x:v>0.38</x:v>
      </x:c>
      <x:c r="E6" s="36" t="n">
        <x:v>0.48</x:v>
      </x:c>
      <x:c r="F6" s="36" t="n">
        <x:v>0.52</x:v>
      </x:c>
      <x:c r="H6" t="str">
        <x:v>Bear</x:v>
      </x:c>
      <x:c r="I6" s="36" t="n">
        <x:v>0.2</x:v>
      </x:c>
      <x:c r="J6" t="str">
        <x:v>传统NAND深度下行</x:v>
      </x:c>
    </x:row>
    <x:row r="7">
      <x:c r="A7" t="str">
        <x:v>Bear营业费用</x:v>
      </x:c>
      <x:c r="B7" s="32" t="n">
        <x:v>2.4</x:v>
      </x:c>
      <x:c r="C7" s="32" t="n">
        <x:v>2.5</x:v>
      </x:c>
      <x:c r="D7" s="32" t="n">
        <x:v>2.6</x:v>
      </x:c>
      <x:c r="E7" s="32" t="n">
        <x:v>2.8</x:v>
      </x:c>
      <x:c r="F7" s="32" t="n">
        <x:v>3</x:v>
      </x:c>
      <x:c r="H7" t="str">
        <x:v>Base</x:v>
      </x:c>
      <x:c r="I7" s="36" t="n">
        <x:v>0.55</x:v>
      </x:c>
      <x:c r="J7" t="str">
        <x:v>FY27高景气后正常化</x:v>
      </x:c>
    </x:row>
    <x:row r="8">
      <x:c r="A8" t="str">
        <x:v>Bear其他收入</x:v>
      </x:c>
      <x:c r="B8" s="32" t="n">
        <x:v>0.1</x:v>
      </x:c>
      <x:c r="C8" s="32" t="n">
        <x:v>0</x:v>
      </x:c>
      <x:c r="D8" s="32" t="n">
        <x:v>0.1</x:v>
      </x:c>
      <x:c r="E8" s="32" t="n">
        <x:v>0.15</x:v>
      </x:c>
      <x:c r="F8" s="32" t="n">
        <x:v>0.2</x:v>
      </x:c>
      <x:c r="H8" t="str">
        <x:v>Bull</x:v>
      </x:c>
      <x:c r="I8" s="36" t="n">
        <x:v>0.25</x:v>
      </x:c>
      <x:c r="J8" t="str">
        <x:v>价格纪律＋AI eSSD＋HBF</x:v>
      </x:c>
    </x:row>
    <x:row r="9">
      <x:c r="A9" t="str">
        <x:v>Bear税率</x:v>
      </x:c>
      <x:c r="B9" s="36" t="n">
        <x:v>0.15</x:v>
      </x:c>
      <x:c r="C9" s="36" t="n">
        <x:v>0</x:v>
      </x:c>
      <x:c r="D9" s="36" t="n">
        <x:v>0.1</x:v>
      </x:c>
      <x:c r="E9" s="36" t="n">
        <x:v>0.15</x:v>
      </x:c>
      <x:c r="F9" s="36" t="n">
        <x:v>0.17</x:v>
      </x:c>
      <x:c r="H9" t="str">
        <x:v>合计</x:v>
      </x:c>
      <x:c r="I9" s="37" t="n">
        <x:f>SUM(I6:I8)</x:f>
        <x:v>1</x:v>
      </x:c>
      <x:c r="J9" t="str">
        <x:v>必须=100%</x:v>
      </x:c>
    </x:row>
    <x:row r="10">
      <x:c r="A10" t="str">
        <x:v>Bear股数</x:v>
      </x:c>
      <x:c r="B10" s="40" t="n">
        <x:v>157</x:v>
      </x:c>
      <x:c r="C10" s="40" t="n">
        <x:v>156</x:v>
      </x:c>
      <x:c r="D10" s="40" t="n">
        <x:v>155</x:v>
      </x:c>
      <x:c r="E10" s="40" t="n">
        <x:v>154</x:v>
      </x:c>
      <x:c r="F10" s="40" t="n">
        <x:v>153</x:v>
      </x:c>
    </x:row>
    <x:row r="13">
      <x:c r="A13" t="str">
        <x:v>Bull收入</x:v>
      </x:c>
      <x:c r="B13" s="32" t="n">
        <x:v>36</x:v>
      </x:c>
      <x:c r="C13" s="32" t="n">
        <x:v>34</x:v>
      </x:c>
      <x:c r="D13" s="32" t="n">
        <x:v>39</x:v>
      </x:c>
      <x:c r="E13" s="32" t="n">
        <x:v>47</x:v>
      </x:c>
      <x:c r="F13" s="32" t="n">
        <x:v>55</x:v>
      </x:c>
    </x:row>
    <x:row r="14">
      <x:c r="A14" t="str">
        <x:v>Bull毛利率</x:v>
      </x:c>
      <x:c r="B14" s="36" t="n">
        <x:v>0.82</x:v>
      </x:c>
      <x:c r="C14" s="36" t="n">
        <x:v>0.72</x:v>
      </x:c>
      <x:c r="D14" s="36" t="n">
        <x:v>0.7</x:v>
      </x:c>
      <x:c r="E14" s="36" t="n">
        <x:v>0.68</x:v>
      </x:c>
      <x:c r="F14" s="36" t="n">
        <x:v>0.65</x:v>
      </x:c>
    </x:row>
    <x:row r="15">
      <x:c r="A15" t="str">
        <x:v>Bull营业费用</x:v>
      </x:c>
      <x:c r="B15" s="32" t="n">
        <x:v>2.5</x:v>
      </x:c>
      <x:c r="C15" s="32" t="n">
        <x:v>2.8</x:v>
      </x:c>
      <x:c r="D15" s="32" t="n">
        <x:v>3.1</x:v>
      </x:c>
      <x:c r="E15" s="32" t="n">
        <x:v>3.5</x:v>
      </x:c>
      <x:c r="F15" s="32" t="n">
        <x:v>3.9</x:v>
      </x:c>
    </x:row>
    <x:row r="16">
      <x:c r="A16" t="str">
        <x:v>Bull其他收入</x:v>
      </x:c>
      <x:c r="B16" s="32" t="n">
        <x:v>0.3</x:v>
      </x:c>
      <x:c r="C16" s="32" t="n">
        <x:v>0.4</x:v>
      </x:c>
      <x:c r="D16" s="32" t="n">
        <x:v>0.5</x:v>
      </x:c>
      <x:c r="E16" s="32" t="n">
        <x:v>0.6</x:v>
      </x:c>
      <x:c r="F16" s="32" t="n">
        <x:v>0.7</x:v>
      </x:c>
    </x:row>
    <x:row r="17">
      <x:c r="A17" t="str">
        <x:v>Bull税率</x:v>
      </x:c>
      <x:c r="B17" s="36" t="n">
        <x:v>0.15</x:v>
      </x:c>
      <x:c r="C17" s="36" t="n">
        <x:v>0.15</x:v>
      </x:c>
      <x:c r="D17" s="36" t="n">
        <x:v>0.16</x:v>
      </x:c>
      <x:c r="E17" s="36" t="n">
        <x:v>0.17</x:v>
      </x:c>
      <x:c r="F17" s="36" t="n">
        <x:v>0.18</x:v>
      </x:c>
    </x:row>
    <x:row r="18">
      <x:c r="A18" t="str">
        <x:v>Bull股数</x:v>
      </x:c>
      <x:c r="B18" s="40" t="n">
        <x:v>155</x:v>
      </x:c>
      <x:c r="C18" s="40" t="n">
        <x:v>153</x:v>
      </x:c>
      <x:c r="D18" s="40" t="n">
        <x:v>150</x:v>
      </x:c>
      <x:c r="E18" s="40" t="n">
        <x:v>146</x:v>
      </x:c>
      <x:c r="F18" s="40" t="n">
        <x:v>142</x:v>
      </x:c>
    </x:row>
    <x:row r="19">
      <x:c r="A19" t="str">
        <x:v>Bull HBF收入（含总收入）</x:v>
      </x:c>
      <x:c r="B19" s="32" t="n">
        <x:v>0</x:v>
      </x:c>
      <x:c r="C19" s="32" t="n">
        <x:v>0</x:v>
      </x:c>
      <x:c r="D19" s="32" t="n">
        <x:v>1</x:v>
      </x:c>
      <x:c r="E19" s="32" t="n">
        <x:v>3</x:v>
      </x:c>
      <x:c r="F19" s="32" t="n">
        <x:v>6</x:v>
      </x:c>
    </x:row>
    <x:row r="21" ht="21" customHeight="1">
      <x:c r="A21" s="50" t="str">
        <x:v>情景EPS</x:v>
      </x:c>
      <x:c r="B21" s="50" t="str">
        <x:v>情景EPS</x:v>
      </x:c>
      <x:c r="C21" s="50" t="str">
        <x:v>情景EPS</x:v>
      </x:c>
      <x:c r="D21" s="50" t="str">
        <x:v>情景EPS</x:v>
      </x:c>
      <x:c r="E21" s="50" t="str">
        <x:v>情景EPS</x:v>
      </x:c>
      <x:c r="F21" s="50" t="str">
        <x:v>情景EPS</x:v>
      </x:c>
    </x:row>
    <x:row r="22" ht="28" customHeight="1">
      <x:c r="A22" s="20" t="str">
        <x:v>指标</x:v>
      </x:c>
      <x:c r="B22" s="20" t="str">
        <x:v>FY2027E</x:v>
      </x:c>
      <x:c r="C22" s="20" t="str">
        <x:v>FY2028E</x:v>
      </x:c>
      <x:c r="D22" s="20" t="str">
        <x:v>FY2029E</x:v>
      </x:c>
      <x:c r="E22" s="20" t="str">
        <x:v>FY2030E</x:v>
      </x:c>
      <x:c r="F22" s="20" t="str">
        <x:v>FY2031E</x:v>
      </x:c>
    </x:row>
    <x:row r="23">
      <x:c r="A23" t="str">
        <x:v>Bear EPS</x:v>
      </x:c>
      <x:c r="B23" s="45" t="n">
        <x:f>((B5*B6-B7+B8)*(1-B9))*1000/B10</x:f>
        <x:v>86.94904458598727</x:v>
      </x:c>
      <x:c r="C23" s="45" t="n">
        <x:f>((C5*C6-C7+C8)*(1-C9))*1000/C10</x:f>
        <x:v>1.923076923076925</x:v>
      </x:c>
      <x:c r="D23" s="45" t="n">
        <x:f>((D5*D6-D7+D8)*(1-D9))*1000/D10</x:f>
        <x:v>22.993548387096773</x:v>
      </x:c>
      <x:c r="E23" s="45" t="n">
        <x:f>((E5*E6-E7+E8)*(1-E9))*1000/E10</x:f>
        <x:v>41.00974025974026</x:v>
      </x:c>
      <x:c r="F23" s="45" t="n">
        <x:f>((F5*F6-F7+F8)*(1-F9))*1000/F10</x:f>
        <x:v>49.69150326797385</x:v>
      </x:c>
    </x:row>
    <x:row r="24">
      <x:c r="A24" t="str">
        <x:v>Base EPS</x:v>
      </x:c>
      <x:c r="B24" s="45" t="n">
        <x:f>'五年损益'!C27</x:f>
        <x:v>124.09606742056272</x:v>
      </x:c>
      <x:c r="C24" s="45" t="n">
        <x:f>'五年损益'!D27</x:f>
        <x:v>47.71925311678449</x:v>
      </x:c>
      <x:c r="D24" s="45" t="n">
        <x:f>'五年损益'!E27</x:f>
        <x:v>52.96379793239709</x:v>
      </x:c>
      <x:c r="E24" s="45" t="n">
        <x:f>'五年损益'!F27</x:f>
        <x:v>74.60884521919509</x:v>
      </x:c>
      <x:c r="F24" s="45" t="n">
        <x:f>'五年损益'!G27</x:f>
        <x:v>90.55786373422109</x:v>
      </x:c>
    </x:row>
    <x:row r="25">
      <x:c r="A25" t="str">
        <x:v>Bull EPS</x:v>
      </x:c>
      <x:c r="B25" s="45" t="n">
        <x:f>((B13*B14-B15+B16)*(1-B17))*1000/B18</x:f>
        <x:v>149.81935483870967</x:v>
      </x:c>
      <x:c r="C25" s="45" t="n">
        <x:f>((C13*C14-C15+C16)*(1-C17))*1000/C18</x:f>
        <x:v>122.66666666666664</x:v>
      </x:c>
      <x:c r="D25" s="45" t="n">
        <x:f>((D13*D14-D15+D16)*(1-D17))*1000/D18</x:f>
        <x:v>138.31999999999996</x:v>
      </x:c>
      <x:c r="E25" s="45" t="n">
        <x:f>((E13*E14-E15+E16)*(1-E17))*1000/E18</x:f>
        <x:v>165.2041095890411</x:v>
      </x:c>
      <x:c r="F25" s="45" t="n">
        <x:f>((F13*F14-F15+F16)*(1-F17))*1000/F18</x:f>
        <x:v>187.96478873239442</x:v>
      </x:c>
    </x:row>
  </x:sheetData>
  <x:mergeCells>
    <x:mergeCell ref="A1:J1"/>
    <x:mergeCell ref="A2:J2"/>
    <x:mergeCell ref="A21:F21"/>
    <x:mergeCell ref="H4:J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25" hidden="0" customWidth="1"/>
    <x:col min="6" max="6" width="38" hidden="0" customWidth="1"/>
    <x:col min="7" max="7" width="5" hidden="0" customWidth="1"/>
    <x:col min="8" max="8" width="29" hidden="0" customWidth="1"/>
    <x:col min="9" max="9" width="18" hidden="0" customWidth="1"/>
    <x:col min="10" max="10" width="39" hidden="0" customWidth="1"/>
  </x:cols>
  <x:sheetData>
    <x:row r="1" ht="28" customHeight="1">
      <x:c r="A1" s="4" t="str">
        <x:v>当前估值、正常化价值与市场隐含</x:v>
      </x:c>
      <x:c r="B1" s="4" t="str">
        <x:v>当前估值、正常化价值与市场隐含</x:v>
      </x:c>
      <x:c r="C1" s="4" t="str">
        <x:v>当前估值、正常化价值与市场隐含</x:v>
      </x:c>
      <x:c r="D1" s="4" t="str">
        <x:v>当前估值、正常化价值与市场隐含</x:v>
      </x:c>
      <x:c r="E1" s="4" t="str">
        <x:v>当前估值、正常化价值与市场隐含</x:v>
      </x:c>
      <x:c r="F1" s="4" t="str">
        <x:v>当前估值、正常化价值与市场隐含</x:v>
      </x:c>
      <x:c r="G1" s="4" t="str">
        <x:v>当前估值、正常化价值与市场隐含</x:v>
      </x:c>
      <x:c r="H1" s="4" t="str">
        <x:v>当前估值、正常化价值与市场隐含</x:v>
      </x:c>
      <x:c r="I1" s="4" t="str">
        <x:v>当前估值、正常化价值与市场隐含</x:v>
      </x:c>
      <x:c r="J1" s="4" t="str">
        <x:v>当前估值、正常化价值与市场隐含</x:v>
      </x:c>
    </x:row>
    <x:row r="2" ht="35" customHeight="1">
      <x:c r="A2" s="11" t="str">
        <x:v>价格锚 $1350.034，2026-07-17 23:59:57 UTC（Alpaca delayed SIP latest trade）。当前价格不能只看FY27峰值EPS。</x:v>
      </x:c>
      <x:c r="B2" s="11" t="str">
        <x:v>价格锚 $1350.034，2026-07-17 23:59:57 UTC（Alpaca delayed SIP latest trade）。当前价格不能只看FY27峰值EPS。</x:v>
      </x:c>
      <x:c r="C2" s="11" t="str">
        <x:v>价格锚 $1350.034，2026-07-17 23:59:57 UTC（Alpaca delayed SIP latest trade）。当前价格不能只看FY27峰值EPS。</x:v>
      </x:c>
      <x:c r="D2" s="11" t="str">
        <x:v>价格锚 $1350.034，2026-07-17 23:59:57 UTC（Alpaca delayed SIP latest trade）。当前价格不能只看FY27峰值EPS。</x:v>
      </x:c>
      <x:c r="E2" s="11" t="str">
        <x:v>价格锚 $1350.034，2026-07-17 23:59:57 UTC（Alpaca delayed SIP latest trade）。当前价格不能只看FY27峰值EPS。</x:v>
      </x:c>
      <x:c r="F2" s="11" t="str">
        <x:v>价格锚 $1350.034，2026-07-17 23:59:57 UTC（Alpaca delayed SIP latest trade）。当前价格不能只看FY27峰值EPS。</x:v>
      </x:c>
      <x:c r="G2" s="11" t="str">
        <x:v>价格锚 $1350.034，2026-07-17 23:59:57 UTC（Alpaca delayed SIP latest trade）。当前价格不能只看FY27峰值EPS。</x:v>
      </x:c>
      <x:c r="H2" s="11" t="str">
        <x:v>价格锚 $1350.034，2026-07-17 23:59:57 UTC（Alpaca delayed SIP latest trade）。当前价格不能只看FY27峰值EPS。</x:v>
      </x:c>
      <x:c r="I2" s="11" t="str">
        <x:v>价格锚 $1350.034，2026-07-17 23:59:57 UTC（Alpaca delayed SIP latest trade）。当前价格不能只看FY27峰值EPS。</x:v>
      </x:c>
      <x:c r="J2" s="11" t="str">
        <x:v>价格锚 $1350.034，2026-07-17 23:59:57 UTC（Alpaca delayed SIP latest trade）。当前价格不能只看FY27峰值EPS。</x:v>
      </x:c>
    </x:row>
    <x:row r="4" ht="21" customHeight="1">
      <x:c r="A4" s="50" t="str">
        <x:v>一、市场锚</x:v>
      </x:c>
      <x:c r="B4" s="50" t="str">
        <x:v>一、市场锚</x:v>
      </x:c>
      <x:c r="C4" s="50" t="str">
        <x:v>一、市场锚</x:v>
      </x:c>
      <x:c r="D4" s="50" t="str">
        <x:v>一、市场锚</x:v>
      </x:c>
      <x:c r="E4" s="50" t="str">
        <x:v>一、市场锚</x:v>
      </x:c>
      <x:c r="F4" s="50" t="str">
        <x:v>一、市场锚</x:v>
      </x:c>
      <x:c r="G4" s="50" t="str">
        <x:v>一、市场锚</x:v>
      </x:c>
      <x:c r="H4" s="50" t="str">
        <x:v>一、市场锚</x:v>
      </x:c>
      <x:c r="I4" s="50" t="str">
        <x:v>一、市场锚</x:v>
      </x:c>
      <x:c r="J4" s="50" t="str">
        <x:v>一、市场锚</x:v>
      </x:c>
    </x:row>
    <x:row r="5" ht="28" customHeight="1">
      <x:c r="A5" s="20" t="str">
        <x:v>项目</x:v>
      </x:c>
      <x:c r="B5" s="20" t="str">
        <x:v>数值</x:v>
      </x:c>
      <x:c r="C5" s="20" t="str">
        <x:v>单位</x:v>
      </x:c>
      <x:c r="D5" s="20" t="str">
        <x:v>公式/来源</x:v>
      </x:c>
      <x:c r="E5" s="20" t="str">
        <x:v>说明</x:v>
      </x:c>
    </x:row>
    <x:row r="6">
      <x:c r="A6" t="str">
        <x:v>当前股价</x:v>
      </x:c>
      <x:c r="B6" s="66" t="n">
        <x:v>1350.034</x:v>
      </x:c>
      <x:c r="C6" t="str">
        <x:v>美元/股</x:v>
      </x:c>
      <x:c r="D6" t="str">
        <x:v>Alpaca delayed SIP</x:v>
      </x:c>
      <x:c r="E6" t="str"/>
    </x:row>
    <x:row r="7">
      <x:c r="A7" t="str">
        <x:v>基本股数</x:v>
      </x:c>
      <x:c r="B7" s="40" t="n">
        <x:v>148</x:v>
      </x:c>
      <x:c r="C7" t="str">
        <x:v>百万股</x:v>
      </x:c>
      <x:c r="D7" t="str">
        <x:v>Q3 10-Q</x:v>
      </x:c>
      <x:c r="E7" t="str"/>
    </x:row>
    <x:row r="8">
      <x:c r="A8" t="str">
        <x:v>基本市值</x:v>
      </x:c>
      <x:c r="B8" s="33" t="n">
        <x:f>B6*B7/1000</x:f>
        <x:v>199.805032</x:v>
      </x:c>
      <x:c r="C8" t="str">
        <x:v>十亿美元</x:v>
      </x:c>
      <x:c r="D8" t="str">
        <x:v>股价×股数</x:v>
      </x:c>
      <x:c r="E8" t="str"/>
    </x:row>
    <x:row r="9">
      <x:c r="A9" t="str">
        <x:v>pro forma净现金</x:v>
      </x:c>
      <x:c r="B9" s="32" t="n">
        <x:v>2.763</x:v>
      </x:c>
      <x:c r="C9" t="str">
        <x:v>十亿美元</x:v>
      </x:c>
      <x:c r="D9" t="str">
        <x:v>Q3现金－Nanya</x:v>
      </x:c>
      <x:c r="E9" t="str">
        <x:v>不含Q4未披露现金</x:v>
      </x:c>
    </x:row>
    <x:row r="10">
      <x:c r="A10" t="str">
        <x:v>企业价值</x:v>
      </x:c>
      <x:c r="B10" s="33" t="n">
        <x:f>B8-B9</x:f>
        <x:v>197.042032</x:v>
      </x:c>
      <x:c r="C10" t="str">
        <x:v>十亿美元</x:v>
      </x:c>
      <x:c r="D10" t="str">
        <x:v>市值－净现金</x:v>
      </x:c>
      <x:c r="E10" t="str"/>
    </x:row>
    <x:row r="11">
      <x:c r="A11" t="str">
        <x:v>FY27 P/E</x:v>
      </x:c>
      <x:c r="B11" s="68" t="n">
        <x:f>B6/'五年损益'!C27</x:f>
        <x:v>10.878942645496753</x:v>
      </x:c>
      <x:c r="C11" t="str">
        <x:v>倍</x:v>
      </x:c>
      <x:c r="D11" t="str">
        <x:v>当前价/Base EPS</x:v>
      </x:c>
      <x:c r="E11" t="str">
        <x:v>峰值年份</x:v>
      </x:c>
    </x:row>
    <x:row r="12">
      <x:c r="A12" t="str">
        <x:v>FY28 P/E</x:v>
      </x:c>
      <x:c r="B12" s="68" t="n">
        <x:f>B6/'五年损益'!D27</x:f>
        <x:v>28.291180431848524</x:v>
      </x:c>
      <x:c r="C12" t="str">
        <x:v>倍</x:v>
      </x:c>
      <x:c r="D12" t="str">
        <x:v>当前价/Base EPS</x:v>
      </x:c>
      <x:c r="E12" t="str">
        <x:v>正常化起点</x:v>
      </x:c>
    </x:row>
    <x:row r="14" ht="21" customHeight="1">
      <x:c r="A14" s="50" t="str">
        <x:v>二、周期估值</x:v>
      </x:c>
      <x:c r="B14" s="50" t="str">
        <x:v>二、周期估值</x:v>
      </x:c>
      <x:c r="C14" s="50" t="str">
        <x:v>二、周期估值</x:v>
      </x:c>
      <x:c r="D14" s="50" t="str">
        <x:v>二、周期估值</x:v>
      </x:c>
      <x:c r="E14" s="50" t="str">
        <x:v>二、周期估值</x:v>
      </x:c>
      <x:c r="F14" s="50" t="str">
        <x:v>二、周期估值</x:v>
      </x:c>
      <x:c r="G14" s="50" t="str">
        <x:v>二、周期估值</x:v>
      </x:c>
      <x:c r="H14" s="50" t="str">
        <x:v>四、概率与反向估值</x:v>
      </x:c>
      <x:c r="I14" s="50" t="str">
        <x:v>四、概率与反向估值</x:v>
      </x:c>
      <x:c r="J14" s="50" t="str">
        <x:v>四、概率与反向估值</x:v>
      </x:c>
    </x:row>
    <x:row r="15" ht="28" customHeight="1">
      <x:c r="A15" s="20" t="str">
        <x:v>项目</x:v>
      </x:c>
      <x:c r="B15" s="20" t="str">
        <x:v>Bear</x:v>
      </x:c>
      <x:c r="C15" s="20" t="str">
        <x:v>Base</x:v>
      </x:c>
      <x:c r="D15" s="20" t="str">
        <x:v>Bull</x:v>
      </x:c>
      <x:c r="E15" s="20" t="str">
        <x:v>权重/低PE</x:v>
      </x:c>
      <x:c r="F15" s="20" t="str">
        <x:v>高PE</x:v>
      </x:c>
      <x:c r="G15" s="20" t="str">
        <x:v>说明</x:v>
      </x:c>
      <x:c r="H15" s="20" t="str">
        <x:v>项目</x:v>
      </x:c>
      <x:c r="I15" s="20" t="str">
        <x:v>数值</x:v>
      </x:c>
      <x:c r="J15" s="20" t="str">
        <x:v>说明</x:v>
      </x:c>
    </x:row>
    <x:row r="16">
      <x:c r="A16" t="str">
        <x:v>FY27 EPS</x:v>
      </x:c>
      <x:c r="B16" s="45" t="n">
        <x:f>'情景模型'!B23</x:f>
        <x:v>86.94904458598727</x:v>
      </x:c>
      <x:c r="C16" s="45" t="n">
        <x:f>'情景模型'!B24</x:f>
        <x:v>124.09606742056272</x:v>
      </x:c>
      <x:c r="D16" s="45" t="n">
        <x:f>'情景模型'!B25</x:f>
        <x:v>149.81935483870967</x:v>
      </x:c>
      <x:c r="E16" s="37" t="n">
        <x:v>0.35</x:v>
      </x:c>
      <x:c r="F16"/>
      <x:c r="G16" t="str"/>
      <x:c r="H16" t="str">
        <x:v>Bear中值</x:v>
      </x:c>
      <x:c r="I16" s="70" t="n">
        <x:f>AVERAGE(B23:B24)</x:f>
        <x:v>352.742994106111</x:v>
      </x:c>
      <x:c r="J16" t="str">
        <x:v>周期价值中值</x:v>
      </x:c>
    </x:row>
    <x:row r="17">
      <x:c r="A17" t="str">
        <x:v>FY28 EPS</x:v>
      </x:c>
      <x:c r="B17" s="45" t="n">
        <x:f>'情景模型'!C23</x:f>
        <x:v>1.923076923076925</x:v>
      </x:c>
      <x:c r="C17" s="45" t="n">
        <x:f>'情景模型'!C24</x:f>
        <x:v>47.71925311678449</x:v>
      </x:c>
      <x:c r="D17" s="45" t="n">
        <x:f>'情景模型'!C25</x:f>
        <x:v>122.66666666666664</x:v>
      </x:c>
      <x:c r="E17" s="37" t="n">
        <x:v>0.3</x:v>
      </x:c>
      <x:c r="F17"/>
      <x:c r="G17" t="str"/>
      <x:c r="H17" t="str">
        <x:v>Base中值</x:v>
      </x:c>
      <x:c r="I17" s="70" t="n">
        <x:f>AVERAGE(C23:C24)</x:f>
        <x:v>814.0037779348288</x:v>
      </x:c>
      <x:c r="J17" t="str">
        <x:v>周期价值中值</x:v>
      </x:c>
    </x:row>
    <x:row r="18">
      <x:c r="A18" t="str">
        <x:v>FY29 EPS</x:v>
      </x:c>
      <x:c r="B18" s="45" t="n">
        <x:f>'情景模型'!D23</x:f>
        <x:v>22.993548387096773</x:v>
      </x:c>
      <x:c r="C18" s="45" t="n">
        <x:f>'情景模型'!D24</x:f>
        <x:v>52.96379793239709</x:v>
      </x:c>
      <x:c r="D18" s="45" t="n">
        <x:f>'情景模型'!D25</x:f>
        <x:v>138.31999999999996</x:v>
      </x:c>
      <x:c r="E18" s="37" t="n">
        <x:v>0.2</x:v>
      </x:c>
      <x:c r="F18"/>
      <x:c r="G18" t="str"/>
      <x:c r="H18" t="str">
        <x:v>Bull中值</x:v>
      </x:c>
      <x:c r="I18" s="70" t="n">
        <x:f>AVERAGE(D23:D24)</x:f>
        <x:v>1789.6863018177255</x:v>
      </x:c>
      <x:c r="J18" t="str">
        <x:v>周期价值中值</x:v>
      </x:c>
    </x:row>
    <x:row r="19">
      <x:c r="A19" t="str">
        <x:v>FY30 EPS</x:v>
      </x:c>
      <x:c r="B19" s="45" t="n">
        <x:f>'情景模型'!E23</x:f>
        <x:v>41.00974025974026</x:v>
      </x:c>
      <x:c r="C19" s="45" t="n">
        <x:f>'情景模型'!E24</x:f>
        <x:v>74.60884521919509</x:v>
      </x:c>
      <x:c r="D19" s="45" t="n">
        <x:f>'情景模型'!E25</x:f>
        <x:v>165.2041095890411</x:v>
      </x:c>
      <x:c r="E19" s="37" t="n">
        <x:v>0.15</x:v>
      </x:c>
      <x:c r="F19"/>
      <x:c r="G19" t="str"/>
      <x:c r="H19" t="str">
        <x:v>概率加权周期价值</x:v>
      </x:c>
      <x:c r="I19" s="70" t="n">
        <x:f>'情景模型'!I6*I16+'情景模型'!I7*I17+'情景模型'!I8*I18</x:f>
        <x:v>965.6722521398094</x:v>
      </x:c>
      <x:c r="J19" t="str">
        <x:v>20/55/25%</x:v>
      </x:c>
    </x:row>
    <x:row r="20">
      <x:c r="A20" t="str">
        <x:v>加权EPS</x:v>
      </x:c>
      <x:c r="B20" s="45" t="n">
        <x:f>B16*$E$16+B17*$E$17+B18*$E$18+B19*$E$19</x:f>
        <x:v>41.75925939839901</x:v>
      </x:c>
      <x:c r="C20" s="45" t="n">
        <x:f>C16*$E$16+C17*$E$17+C18*$E$18+C19*$E$19</x:f>
        <x:v>79.53348590159098</x:v>
      </x:c>
      <x:c r="D20" s="45" t="n">
        <x:f>D16*$E$16+D17*$E$17+D18*$E$18+D19*$E$19</x:f>
        <x:v>141.68139063190452</x:v>
      </x:c>
      <x:c r="E20"/>
      <x:c r="F20"/>
      <x:c r="G20" t="str"/>
      <x:c r="H20" t="str">
        <x:v>当前价较概率价值</x:v>
      </x:c>
      <x:c r="I20" s="37" t="n">
        <x:f>$B$6/I19-1</x:f>
        <x:v>0.39802505146906</x:v>
      </x:c>
      <x:c r="J20" t="str">
        <x:v>正数=当前更高</x:v>
      </x:c>
    </x:row>
    <x:row r="21">
      <x:c r="A21" t="str">
        <x:v>合理PE</x:v>
      </x:c>
      <x:c r="B21" s="68" t="n">
        <x:v>7</x:v>
      </x:c>
      <x:c r="C21" s="68" t="n">
        <x:v>9</x:v>
      </x:c>
      <x:c r="D21" s="68" t="n">
        <x:v>11</x:v>
      </x:c>
      <x:c r="E21"/>
      <x:c r="F21"/>
      <x:c r="G21" t="str">
        <x:v>低端</x:v>
      </x:c>
      <x:c r="H21" t="str">
        <x:v>固定Bear20%隐含Bull概率</x:v>
      </x:c>
      <x:c r="I21" s="37" t="n">
        <x:f>($B$6-'情景模型'!I6*I16-(1-'情景模型'!I6)*I17)/(I18-I17)</x:f>
        <x:v>0.6439414086567389</x:v>
      </x:c>
      <x:c r="J21" t="str">
        <x:v>剩余为Base</x:v>
      </x:c>
    </x:row>
    <x:row r="22">
      <x:c r="A22" t="str">
        <x:v>高端PE</x:v>
      </x:c>
      <x:c r="B22" s="68" t="n">
        <x:v>9</x:v>
      </x:c>
      <x:c r="C22" s="68" t="n">
        <x:v>11</x:v>
      </x:c>
      <x:c r="D22" s="68" t="n">
        <x:v>14</x:v>
      </x:c>
      <x:c r="E22"/>
      <x:c r="F22"/>
      <x:c r="G22" t="str">
        <x:v>高端</x:v>
      </x:c>
      <x:c r="H22" t="str">
        <x:v>12x隐含EPS</x:v>
      </x:c>
      <x:c r="I22" s="45" t="n">
        <x:f>$B$6/12</x:f>
        <x:v>112.50283333333334</x:v>
      </x:c>
      <x:c r="J22" t="str">
        <x:v>当前价/12</x:v>
      </x:c>
    </x:row>
    <x:row r="23">
      <x:c r="A23" t="str">
        <x:v>价值区间</x:v>
      </x:c>
      <x:c r="B23" s="70" t="n">
        <x:f>B20*B21+$B$9*1000/$B$7</x:f>
        <x:v>310.98373470771196</x:v>
      </x:c>
      <x:c r="C23" s="70" t="n">
        <x:f>C20*C21+$B$9*1000/$B$7</x:f>
        <x:v>734.4702920332378</x:v>
      </x:c>
      <x:c r="D23" s="70" t="n">
        <x:f>D20*D21+$B$9*1000/$B$7</x:f>
        <x:v>1577.1642158698687</x:v>
      </x:c>
      <x:c r="E23"/>
      <x:c r="F23"/>
      <x:c r="G23" t="str">
        <x:v>含当前净现金/股</x:v>
      </x:c>
    </x:row>
    <x:row r="24">
      <x:c r="B24" s="70" t="n">
        <x:f>B20*B22+$B$9*1000/$B$7</x:f>
        <x:v>394.50225350451</x:v>
      </x:c>
      <x:c r="C24" s="70" t="n">
        <x:f>C20*C22+$B$9*1000/$B$7</x:f>
        <x:v>893.5372638364197</x:v>
      </x:c>
      <x:c r="D24" s="70" t="n">
        <x:f>D20*D22+$B$9*1000/$B$7</x:f>
        <x:v>2002.2083877655823</x:v>
      </x:c>
    </x:row>
    <x:row r="25" ht="28" customHeight="1">
      <x:c r="H25" s="20" t="str">
        <x:v>FY28反向指标</x:v>
      </x:c>
      <x:c r="I25" s="20" t="str">
        <x:v>10x</x:v>
      </x:c>
      <x:c r="J25" s="20" t="str">
        <x:v>12x</x:v>
      </x:c>
    </x:row>
    <x:row r="26">
      <x:c r="H26" t="str">
        <x:v>隐含EPS</x:v>
      </x:c>
      <x:c r="I26" s="45" t="n">
        <x:f>$B$6/10</x:f>
        <x:v>135.0034</x:v>
      </x:c>
      <x:c r="J26" s="45" t="n">
        <x:f>$B$6/12</x:f>
        <x:v>112.50283333333334</x:v>
      </x:c>
    </x:row>
    <x:row r="27" ht="21" customHeight="1">
      <x:c r="A27" s="50" t="str">
        <x:v>三、长期正常化FCFE</x:v>
      </x:c>
      <x:c r="B27" s="50" t="str">
        <x:v>三、长期正常化FCFE</x:v>
      </x:c>
      <x:c r="C27" s="50" t="str">
        <x:v>三、长期正常化FCFE</x:v>
      </x:c>
      <x:c r="D27" s="50" t="str">
        <x:v>三、长期正常化FCFE</x:v>
      </x:c>
      <x:c r="E27" s="50" t="str">
        <x:v>三、长期正常化FCFE</x:v>
      </x:c>
      <x:c r="F27" s="50" t="str">
        <x:v>三、长期正常化FCFE</x:v>
      </x:c>
      <x:c r="G27" s="50" t="str">
        <x:v>三、长期正常化FCFE</x:v>
      </x:c>
      <x:c r="H27" s="50" t="str">
        <x:v>隐含净利润</x:v>
      </x:c>
      <x:c r="I27" s="74" t="n">
        <x:f>I26*'五年损益'!D26/1000</x:f>
        <x:v>20.7905236</x:v>
      </x:c>
      <x:c r="J27" s="74" t="n">
        <x:f>J26*'五年损益'!D26/1000</x:f>
        <x:v>17.325436333333336</x:v>
      </x:c>
    </x:row>
    <x:row r="28" ht="28" customHeight="1">
      <x:c r="A28" s="20" t="str">
        <x:v>项目</x:v>
      </x:c>
      <x:c r="B28" s="20" t="str">
        <x:v>低</x:v>
      </x:c>
      <x:c r="C28" s="20" t="str">
        <x:v>Base</x:v>
      </x:c>
      <x:c r="D28" s="20" t="str">
        <x:v>高</x:v>
      </x:c>
      <x:c r="E28" s="20" t="str">
        <x:v>公式/口径</x:v>
      </x:c>
      <x:c r="F28" s="20" t="str">
        <x:v>说明</x:v>
      </x:c>
      <x:c r="H28" t="str">
        <x:v>若GM 60%隐含收入</x:v>
      </x:c>
      <x:c r="I28" s="33" t="n">
        <x:f>((I27/(1-'五年损益'!D23))+'五年损益'!D17+'五年损益'!D18+'五年损益'!D19-'五年损益'!D21)/0.6</x:f>
        <x:v>45.25103888888889</x:v>
      </x:c>
      <x:c r="J28" s="33" t="n">
        <x:f>((J27/(1-'五年损益'!D23))+'五年损益'!D17+'五年损益'!D18+'五年损益'!D19-'五年损益'!D21)/0.6</x:f>
        <x:v>38.37586574074076</x:v>
      </x:c>
    </x:row>
    <x:row r="29">
      <x:c r="A29" t="str">
        <x:v>显性FY27–31 FCFE/股现值</x:v>
      </x:c>
      <x:c r="B29" s="70" t="n">
        <x:f>('现金流与资本'!B11*1000/'五年损益'!C26)/(1+B37)^1+('现金流与资本'!C11*1000/'五年损益'!D26)/(1+B37)^2+('现金流与资本'!D11*1000/'五年损益'!E26)/(1+B37)^3+('现金流与资本'!E11*1000/'五年损益'!F26)/(1+B37)^4+('现金流与资本'!F11*1000/'五年损益'!G26)/(1+B37)^5</x:f>
        <x:v>283.9150105807026</x:v>
      </x:c>
      <x:c r="C29" s="70" t="n">
        <x:f>('现金流与资本'!B11*1000/'五年损益'!C26)/(1+C37)^1+('现金流与资本'!C11*1000/'五年损益'!D26)/(1+C37)^2+('现金流与资本'!D11*1000/'五年损益'!E26)/(1+C37)^3+('现金流与资本'!E11*1000/'五年损益'!F26)/(1+C37)^4+('现金流与资本'!F11*1000/'五年损益'!G26)/(1+C37)^5</x:f>
        <x:v>290.7828830142232</x:v>
      </x:c>
      <x:c r="D29" s="70" t="n">
        <x:f>('现金流与资本'!B11*1000/'五年损益'!C26)/(1+D37)^1+('现金流与资本'!C11*1000/'五年损益'!D26)/(1+D37)^2+('现金流与资本'!D11*1000/'五年损益'!E26)/(1+D37)^3+('现金流与资本'!E11*1000/'五年损益'!F26)/(1+D37)^4+('现金流与资本'!F11*1000/'五年损益'!G26)/(1+D37)^5</x:f>
        <x:v>297.9409464440222</x:v>
      </x:c>
      <x:c r="E29" t="str">
        <x:v>详细现金流</x:v>
      </x:c>
      <x:c r="F29" t="str"/>
      <x:c r="H29" t="str">
        <x:v>若GM 70%隐含收入</x:v>
      </x:c>
      <x:c r="I29" s="33" t="n">
        <x:f>((I27/(1-'五年损益'!D23))+'五年损益'!D17+'五年损益'!D18+'五年损益'!D19-'五年损益'!D21)/0.7</x:f>
        <x:v>38.78660476190477</x:v>
      </x:c>
      <x:c r="J29" s="33" t="n">
        <x:f>((J27/(1-'五年损益'!D23))+'五年损益'!D17+'五年损益'!D18+'五年损益'!D19-'五年损益'!D21)/0.7</x:f>
        <x:v>32.89359920634922</x:v>
      </x:c>
    </x:row>
    <x:row r="30">
      <x:c r="A30" t="str">
        <x:v>正常化收入</x:v>
      </x:c>
      <x:c r="B30" s="32" t="n">
        <x:v>25</x:v>
      </x:c>
      <x:c r="C30" s="32" t="n">
        <x:v>28</x:v>
      </x:c>
      <x:c r="D30" s="32" t="n">
        <x:v>32</x:v>
      </x:c>
      <x:c r="E30" t="str">
        <x:v>十亿美元</x:v>
      </x:c>
      <x:c r="F30" t="str">
        <x:v>不沿用FY27峰值</x:v>
      </x:c>
      <x:c r="H30" t="str">
        <x:v>Base FY28收入</x:v>
      </x:c>
      <x:c r="I30" s="33" t="n">
        <x:f>'五年损益'!D9</x:f>
        <x:v>20.6230735666224</x:v>
      </x:c>
      <x:c r="J30" s="33" t="n">
        <x:f>'五年损益'!D9</x:f>
        <x:v>20.6230735666224</x:v>
      </x:c>
    </x:row>
    <x:row r="31">
      <x:c r="A31" t="str">
        <x:v>正常化毛利率</x:v>
      </x:c>
      <x:c r="B31" s="36" t="n">
        <x:v>0.45</x:v>
      </x:c>
      <x:c r="C31" s="36" t="n">
        <x:v>0.52</x:v>
      </x:c>
      <x:c r="D31" s="36" t="n">
        <x:v>0.6</x:v>
      </x:c>
      <x:c r="E31" t="str"/>
      <x:c r="F31" t="str"/>
      <x:c r="H31" t="str">
        <x:v>Base FY28毛利率</x:v>
      </x:c>
      <x:c r="I31" s="37" t="n">
        <x:f>'五年损益'!D16</x:f>
        <x:v>0.5405852673735595</x:v>
      </x:c>
      <x:c r="J31" s="37" t="n">
        <x:f>'五年损益'!D16</x:f>
        <x:v>0.5405852673735595</x:v>
      </x:c>
    </x:row>
    <x:row r="32">
      <x:c r="A32" t="str">
        <x:v>正常化Opex</x:v>
      </x:c>
      <x:c r="B32" s="32" t="n">
        <x:v>3</x:v>
      </x:c>
      <x:c r="C32" s="32" t="n">
        <x:v>3.2</x:v>
      </x:c>
      <x:c r="D32" s="32" t="n">
        <x:v>3.5</x:v>
      </x:c>
      <x:c r="E32" t="str">
        <x:v>十亿美元</x:v>
      </x:c>
      <x:c r="F32" t="str"/>
    </x:row>
    <x:row r="33">
      <x:c r="A33" t="str">
        <x:v>正常化其他收入</x:v>
      </x:c>
      <x:c r="B33" s="32" t="n">
        <x:v>0.3</x:v>
      </x:c>
      <x:c r="C33" s="32" t="n">
        <x:v>0.3</x:v>
      </x:c>
      <x:c r="D33" s="32" t="n">
        <x:v>0.4</x:v>
      </x:c>
      <x:c r="E33" t="str">
        <x:v>十亿美元</x:v>
      </x:c>
      <x:c r="F33" t="str"/>
    </x:row>
    <x:row r="34">
      <x:c r="A34" t="str">
        <x:v>正常化税率</x:v>
      </x:c>
      <x:c r="B34" s="36" t="n">
        <x:v>0.18</x:v>
      </x:c>
      <x:c r="C34" s="36" t="n">
        <x:v>0.18</x:v>
      </x:c>
      <x:c r="D34" s="36" t="n">
        <x:v>0.17</x:v>
      </x:c>
      <x:c r="E34" t="str"/>
      <x:c r="F34" t="str"/>
    </x:row>
    <x:row r="35">
      <x:c r="A35" t="str">
        <x:v>正常化EPS</x:v>
      </x:c>
      <x:c r="B35" s="44" t="n">
        <x:f>((B30*B31-B32+B33)*(1-B34))*1000/'五年损益'!G26</x:f>
        <x:v>46.43046357615895</x:v>
      </x:c>
      <x:c r="C35" s="44" t="n">
        <x:f>((C30*C31-C32+C33)*(1-C34))*1000/'五年损益'!G26</x:f>
        <x:v>63.31920529801325</x:v>
      </x:c>
      <x:c r="D35" s="44" t="n">
        <x:f>((D30*D31-D32+D33)*(1-D34))*1000/'五年损益'!G26</x:f>
        <x:v>88.49668874172184</x:v>
      </x:c>
      <x:c r="E35" t="str">
        <x:v>公式</x:v>
      </x:c>
      <x:c r="F35" t="str"/>
    </x:row>
    <x:row r="36">
      <x:c r="A36" t="str">
        <x:v>终值PE</x:v>
      </x:c>
      <x:c r="B36" s="72" t="n">
        <x:v>10</x:v>
      </x:c>
      <x:c r="C36" s="72" t="n">
        <x:v>12</x:v>
      </x:c>
      <x:c r="D36" s="72" t="n">
        <x:v>14</x:v>
      </x:c>
      <x:c r="E36" t="str"/>
      <x:c r="F36" t="str"/>
    </x:row>
    <x:row r="37">
      <x:c r="A37" t="str">
        <x:v>折现率</x:v>
      </x:c>
      <x:c r="B37" s="36" t="n">
        <x:v>0.11</x:v>
      </x:c>
      <x:c r="C37" s="36" t="n">
        <x:v>0.1</x:v>
      </x:c>
      <x:c r="D37" s="36" t="n">
        <x:v>0.09</x:v>
      </x:c>
      <x:c r="E37" t="str"/>
      <x:c r="F37" t="str"/>
    </x:row>
    <x:row r="38">
      <x:c r="A38" t="str">
        <x:v>终值现值</x:v>
      </x:c>
      <x:c r="B38" s="70" t="n">
        <x:f>B35*B36/(1+B37)^5</x:f>
        <x:v>275.5422027164606</x:v>
      </x:c>
      <x:c r="C38" s="70" t="n">
        <x:f>C35*C36/(1+C37)^5</x:f>
        <x:v>471.7949367443597</x:v>
      </x:c>
      <x:c r="D38" s="70" t="n">
        <x:f>D35*D36/(1+D37)^5</x:f>
        <x:v>805.2348583540861</x:v>
      </x:c>
      <x:c r="E38" t="str">
        <x:v>公式</x:v>
      </x:c>
      <x:c r="F38" t="str"/>
    </x:row>
    <x:row r="39">
      <x:c r="A39" t="str">
        <x:v>长期正常化价值</x:v>
      </x:c>
      <x:c r="B39" s="70" t="n">
        <x:f>B29+B38+$B$9*1000/$B$7</x:f>
        <x:v>578.1261322160822</x:v>
      </x:c>
      <x:c r="C39" s="70" t="n">
        <x:f>C29+C38+$B$9*1000/$B$7</x:f>
        <x:v>781.2467386775019</x:v>
      </x:c>
      <x:c r="D39" s="70" t="n">
        <x:f>D29+D38+$B$9*1000/$B$7</x:f>
        <x:v>1121.8447237170274</x:v>
      </x:c>
      <x:c r="E39" t="str">
        <x:v>显性FCFE＋终值＋净现金</x:v>
      </x:c>
      <x:c r="F39" t="str"/>
    </x:row>
  </x:sheetData>
  <x:mergeCells>
    <x:mergeCell ref="A1:J1"/>
    <x:mergeCell ref="A2:J2"/>
    <x:mergeCell ref="A4:J4"/>
    <x:mergeCell ref="A14:J14"/>
    <x:mergeCell ref="A27:J27"/>
    <x:mergeCell ref="H14:J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34" hidden="0" customWidth="1"/>
    <x:col min="4" max="4" width="34" hidden="0" customWidth="1"/>
    <x:col min="5" max="5" width="35" hidden="0" customWidth="1"/>
    <x:col min="6" max="6" width="35" hidden="0" customWidth="1"/>
    <x:col min="7" max="7" width="17" hidden="0" customWidth="1"/>
    <x:col min="8" max="8" width="20" hidden="0" customWidth="1"/>
    <x:col min="9" max="9" width="22" hidden="0" customWidth="1"/>
    <x:col min="10" max="10" width="15" hidden="0" customWidth="1"/>
  </x:cols>
  <x:sheetData>
    <x:row r="1" ht="28" customHeight="1">
      <x:c r="A1" s="4" t="str">
        <x:v>监测触发与模型质量门</x:v>
      </x:c>
      <x:c r="B1" s="4" t="str">
        <x:v>监测触发与模型质量门</x:v>
      </x:c>
      <x:c r="C1" s="4" t="str">
        <x:v>监测触发与模型质量门</x:v>
      </x:c>
      <x:c r="D1" s="4" t="str">
        <x:v>监测触发与模型质量门</x:v>
      </x:c>
      <x:c r="E1" s="4" t="str">
        <x:v>监测触发与模型质量门</x:v>
      </x:c>
      <x:c r="F1" s="4" t="str">
        <x:v>监测触发与模型质量门</x:v>
      </x:c>
      <x:c r="G1" s="4" t="str">
        <x:v>监测触发与模型质量门</x:v>
      </x:c>
      <x:c r="H1" s="4" t="str">
        <x:v>监测触发与模型质量门</x:v>
      </x:c>
      <x:c r="I1" s="4" t="str">
        <x:v>监测触发与模型质量门</x:v>
      </x:c>
      <x:c r="J1" s="4" t="str">
        <x:v>监测触发与模型质量门</x:v>
      </x:c>
    </x:row>
    <x:row r="2" ht="35" customHeight="1">
      <x:c r="A2" s="11" t="str">
        <x:v>每项新证据对应具体参数和动作；不因股价波动无规则改模。</x:v>
      </x:c>
      <x:c r="B2" s="11" t="str">
        <x:v>每项新证据对应具体参数和动作；不因股价波动无规则改模。</x:v>
      </x:c>
      <x:c r="C2" s="11" t="str">
        <x:v>每项新证据对应具体参数和动作；不因股价波动无规则改模。</x:v>
      </x:c>
      <x:c r="D2" s="11" t="str">
        <x:v>每项新证据对应具体参数和动作；不因股价波动无规则改模。</x:v>
      </x:c>
      <x:c r="E2" s="11" t="str">
        <x:v>每项新证据对应具体参数和动作；不因股价波动无规则改模。</x:v>
      </x:c>
      <x:c r="F2" s="11" t="str">
        <x:v>每项新证据对应具体参数和动作；不因股价波动无规则改模。</x:v>
      </x:c>
      <x:c r="G2" s="11" t="str">
        <x:v>每项新证据对应具体参数和动作；不因股价波动无规则改模。</x:v>
      </x:c>
      <x:c r="H2" s="11" t="str">
        <x:v>每项新证据对应具体参数和动作；不因股价波动无规则改模。</x:v>
      </x:c>
      <x:c r="I2" s="11" t="str">
        <x:v>每项新证据对应具体参数和动作；不因股价波动无规则改模。</x:v>
      </x:c>
      <x:c r="J2" s="11" t="str">
        <x:v>每项新证据对应具体参数和动作；不因股价波动无规则改模。</x:v>
      </x:c>
    </x:row>
    <x:row r="4" ht="28" customHeight="1">
      <x:c r="A4" s="20" t="str">
        <x:v>优先</x:v>
      </x:c>
      <x:c r="B4" s="20" t="str">
        <x:v>触发器</x:v>
      </x:c>
      <x:c r="C4" s="20" t="str">
        <x:v>当前锚</x:v>
      </x:c>
      <x:c r="D4" s="20" t="str">
        <x:v>正向</x:v>
      </x:c>
      <x:c r="E4" s="20" t="str">
        <x:v>负向</x:v>
      </x:c>
      <x:c r="F4" s="20" t="str">
        <x:v>模型动作</x:v>
      </x:c>
      <x:c r="G4" s="20" t="str">
        <x:v>影响期</x:v>
      </x:c>
      <x:c r="H4" s="20" t="str">
        <x:v>下一窗口</x:v>
      </x:c>
      <x:c r="I4" s="20" t="str">
        <x:v>来源</x:v>
      </x:c>
      <x:c r="J4" s="20" t="str">
        <x:v>状态</x:v>
      </x:c>
    </x:row>
    <x:row r="5" ht="56" customHeight="1">
      <x:c r="A5" s="26" t="str">
        <x:v>P0</x:v>
      </x:c>
      <x:c r="B5" s="26" t="str">
        <x:v>Q4 FY26实际收入/GM</x:v>
      </x:c>
      <x:c r="C5" s="26" t="str">
        <x:v>80亿美元/79.9%中值</x:v>
      </x:c>
      <x:c r="D5" s="26" t="str">
        <x:v>&gt;82.5且GM&gt;81%</x:v>
      </x:c>
      <x:c r="E5" s="26" t="str">
        <x:v>&lt;77.5或GM&lt;79%</x:v>
      </x:c>
      <x:c r="F5" s="26" t="str">
        <x:v>重置FY27基期</x:v>
      </x:c>
      <x:c r="G5" s="26" t="str">
        <x:v>FY27</x:v>
      </x:c>
      <x:c r="H5" s="26" t="str">
        <x:v>2026-08-05</x:v>
      </x:c>
      <x:c r="I5" s="26" t="str">
        <x:v>公司财报</x:v>
      </x:c>
      <x:c r="J5" s="26" t="str">
        <x:v>待验证</x:v>
      </x:c>
    </x:row>
    <x:row r="6" ht="56" customHeight="1">
      <x:c r="A6" s="26" t="str">
        <x:v>P0</x:v>
      </x:c>
      <x:c r="B6" s="26" t="str">
        <x:v>Q4终端市场拆分</x:v>
      </x:c>
      <x:c r="C6" s="26" t="str">
        <x:v>DC 24、Edge46、Consumer10亿美元</x:v>
      </x:c>
      <x:c r="D6" s="26" t="str">
        <x:v>DC&gt;25</x:v>
      </x:c>
      <x:c r="E6" s="26" t="str">
        <x:v>DC&lt;20或Edge异常库存</x:v>
      </x:c>
      <x:c r="F6" s="26" t="str">
        <x:v>重置分市场Base</x:v>
      </x:c>
      <x:c r="G6" s="26" t="str">
        <x:v>FY27–31</x:v>
      </x:c>
      <x:c r="H6" s="26" t="str">
        <x:v>2026-08-05</x:v>
      </x:c>
      <x:c r="I6" s="26" t="str">
        <x:v>财报/演示</x:v>
      </x:c>
      <x:c r="J6" s="26" t="str">
        <x:v>E3拆分</x:v>
      </x:c>
    </x:row>
    <x:row r="7" ht="56" customHeight="1">
      <x:c r="A7" s="26" t="str">
        <x:v>P0</x:v>
      </x:c>
      <x:c r="B7" s="26" t="str">
        <x:v>NBM价格/数量条款</x:v>
      </x:c>
      <x:c r="C7" s="26" t="str">
        <x:v>5份；firm commitments</x:v>
      </x:c>
      <x:c r="D7" s="26" t="str">
        <x:v>披露floor/take-or-pay/目标GM</x:v>
      </x:c>
      <x:c r="E7" s="26" t="str">
        <x:v>重谈/无价格保护</x:v>
      </x:c>
      <x:c r="F7" s="26" t="str">
        <x:v>调整ASP保护比例</x:v>
      </x:c>
      <x:c r="G7" s="26" t="str">
        <x:v>FY27–29</x:v>
      </x:c>
      <x:c r="H7" s="26" t="str">
        <x:v>2026-08-13</x:v>
      </x:c>
      <x:c r="I7" s="26" t="str">
        <x:v>Investor Day</x:v>
      </x:c>
      <x:c r="J7" s="26" t="str">
        <x:v>未知</x:v>
      </x:c>
    </x:row>
    <x:row r="8" ht="56" customHeight="1">
      <x:c r="A8" s="26" t="str">
        <x:v>P0</x:v>
      </x:c>
      <x:c r="B8" s="26" t="str">
        <x:v>Edge/Consumer渠道库存</x:v>
      </x:c>
      <x:c r="C8" s="26" t="str">
        <x:v>Base H2 bit sell-in放缓/转负</x:v>
      </x:c>
      <x:c r="D8" s="26" t="str">
        <x:v>sell-through强、库存低</x:v>
      </x:c>
      <x:c r="E8" s="26" t="str">
        <x:v>促销/库存上升</x:v>
      </x:c>
      <x:c r="F8" s="26" t="str">
        <x:v>调整bit和ASP</x:v>
      </x:c>
      <x:c r="G8" s="26" t="str">
        <x:v>FY27–28</x:v>
      </x:c>
      <x:c r="H8" s="26" t="str">
        <x:v>每季</x:v>
      </x:c>
      <x:c r="I8" s="26" t="str">
        <x:v>公司/渠道</x:v>
      </x:c>
      <x:c r="J8" s="26" t="str">
        <x:v>关键</x:v>
      </x:c>
    </x:row>
    <x:row r="9" ht="56" customHeight="1">
      <x:c r="A9" s="26" t="str">
        <x:v>P0</x:v>
      </x:c>
      <x:c r="B9" s="26" t="str">
        <x:v>Datacenter收入与客户</x:v>
      </x:c>
      <x:c r="C9" s="26" t="str">
        <x:v>Q3 14.67亿美元</x:v>
      </x:c>
      <x:c r="D9" s="26" t="str">
        <x:v>多客户连续放量</x:v>
      </x:c>
      <x:c r="E9" s="26" t="str">
        <x:v>资格延期/单客户依赖</x:v>
      </x:c>
      <x:c r="F9" s="26" t="str">
        <x:v>调整DC bit/share</x:v>
      </x:c>
      <x:c r="G9" s="26" t="str">
        <x:v>FY27–31</x:v>
      </x:c>
      <x:c r="H9" s="26" t="str">
        <x:v>每季</x:v>
      </x:c>
      <x:c r="I9" s="26" t="str">
        <x:v>财报/客户</x:v>
      </x:c>
      <x:c r="J9" s="26" t="str">
        <x:v>关键</x:v>
      </x:c>
    </x:row>
    <x:row r="10" ht="56" customHeight="1">
      <x:c r="A10" s="26" t="str">
        <x:v>P1</x:v>
      </x:c>
      <x:c r="B10" s="26" t="str">
        <x:v>QLC Stargate</x:v>
      </x:c>
      <x:c r="C10" s="26" t="str">
        <x:v>含在DC bit</x:v>
      </x:c>
      <x:c r="D10" s="26" t="str">
        <x:v>披露收入/客户/连续ramp</x:v>
      </x:c>
      <x:c r="E10" s="26" t="str">
        <x:v>延期/小批量</x:v>
      </x:c>
      <x:c r="F10" s="26" t="str">
        <x:v>阶段升级/降级</x:v>
      </x:c>
      <x:c r="G10" s="26" t="str">
        <x:v>FY27–29</x:v>
      </x:c>
      <x:c r="H10" s="26" t="str">
        <x:v>2026-08</x:v>
      </x:c>
      <x:c r="I10" s="26" t="str">
        <x:v>公司</x:v>
      </x:c>
      <x:c r="J10" s="26" t="str">
        <x:v>Stage2–3</x:v>
      </x:c>
    </x:row>
    <x:row r="11" ht="56" customHeight="1">
      <x:c r="A11" s="26" t="str">
        <x:v>P1</x:v>
      </x:c>
      <x:c r="B11" s="26" t="str">
        <x:v>BiCS10</x:v>
      </x:c>
      <x:c r="C11" s="26" t="str">
        <x:v>送样</x:v>
      </x:c>
      <x:c r="D11" s="26" t="str">
        <x:v>量产/良率/wafer output</x:v>
      </x:c>
      <x:c r="E11" s="26" t="str">
        <x:v>延期</x:v>
      </x:c>
      <x:c r="F11" s="26" t="str">
        <x:v>FY29+成本路径</x:v>
      </x:c>
      <x:c r="G11" s="26" t="str">
        <x:v>FY29–31</x:v>
      </x:c>
      <x:c r="H11" s="26" t="str">
        <x:v>未来数季</x:v>
      </x:c>
      <x:c r="I11" s="26" t="str">
        <x:v>公司</x:v>
      </x:c>
      <x:c r="J11" s="26" t="str">
        <x:v>Stage1</x:v>
      </x:c>
    </x:row>
    <x:row r="12" ht="56" customHeight="1">
      <x:c r="A12" s="26" t="str">
        <x:v>P0</x:v>
      </x:c>
      <x:c r="B12" s="26" t="str">
        <x:v>HBF</x:v>
      </x:c>
      <x:c r="C12" s="26" t="str">
        <x:v>样品目标</x:v>
      </x:c>
      <x:c r="D12" s="26" t="str">
        <x:v>具名客户＋量产＋配置/ASP</x:v>
      </x:c>
      <x:c r="E12" s="26" t="str">
        <x:v>延期/标准问题</x:v>
      </x:c>
      <x:c r="F12" s="26" t="str">
        <x:v>仅Bull；Stage3后入Base</x:v>
      </x:c>
      <x:c r="G12" s="26" t="str">
        <x:v>FY29–31</x:v>
      </x:c>
      <x:c r="H12" s="26" t="str">
        <x:v>2026–28</x:v>
      </x:c>
      <x:c r="I12" s="26" t="str">
        <x:v>公司</x:v>
      </x:c>
      <x:c r="J12" s="26" t="str">
        <x:v>Stage1</x:v>
      </x:c>
    </x:row>
    <x:row r="13" ht="56" customHeight="1">
      <x:c r="A13" s="26" t="str">
        <x:v>P0</x:v>
      </x:c>
      <x:c r="B13" s="26" t="str">
        <x:v>FV资本/低利用率</x:v>
      </x:c>
      <x:c r="C13" s="26" t="str">
        <x:v>承诺65.43亿；Q3无当季费用</x:v>
      </x:c>
      <x:c r="D13" s="26" t="str">
        <x:v>投入低/满载</x:v>
      </x:c>
      <x:c r="E13" s="26" t="str">
        <x:v>额外资本/低利用率</x:v>
      </x:c>
      <x:c r="F13" s="26" t="str">
        <x:v>FCF/有效成本/周期费</x:v>
      </x:c>
      <x:c r="G13" s="26" t="str">
        <x:v>FY27–30</x:v>
      </x:c>
      <x:c r="H13" s="26" t="str">
        <x:v>每季</x:v>
      </x:c>
      <x:c r="I13" s="26" t="str">
        <x:v>10-Q</x:v>
      </x:c>
      <x:c r="J13" s="26" t="str">
        <x:v>关键</x:v>
      </x:c>
    </x:row>
    <x:row r="14" ht="56" customHeight="1">
      <x:c r="A14" s="26" t="str">
        <x:v>P1</x:v>
      </x:c>
      <x:c r="B14" s="26" t="str">
        <x:v>60亿美元回购</x:v>
      </x:c>
      <x:c r="C14" s="26" t="str">
        <x:v>授权不等于执行</x:v>
      </x:c>
      <x:c r="D14" s="26" t="str">
        <x:v>低价执行</x:v>
      </x:c>
      <x:c r="E14" s="26" t="str">
        <x:v>高价执行/挤压JV资金</x:v>
      </x:c>
      <x:c r="F14" s="26" t="str">
        <x:v>股数/现金</x:v>
      </x:c>
      <x:c r="G14" s="26" t="str">
        <x:v>FY27–28</x:v>
      </x:c>
      <x:c r="H14" s="26" t="str">
        <x:v>每季</x:v>
      </x:c>
      <x:c r="I14" s="26" t="str">
        <x:v>10-Q</x:v>
      </x:c>
      <x:c r="J14" s="26" t="str">
        <x:v>模型假设</x:v>
      </x:c>
    </x:row>
    <x:row r="17" ht="21" customHeight="1">
      <x:c r="A17" s="50" t="str">
        <x:v>公式与交付检查</x:v>
      </x:c>
      <x:c r="B17" s="50" t="str">
        <x:v>公式与交付检查</x:v>
      </x:c>
      <x:c r="C17" s="50" t="str">
        <x:v>公式与交付检查</x:v>
      </x:c>
      <x:c r="D17" s="50" t="str">
        <x:v>公式与交付检查</x:v>
      </x:c>
      <x:c r="E17" s="50" t="str">
        <x:v>公式与交付检查</x:v>
      </x:c>
      <x:c r="F17" s="50" t="str">
        <x:v>公式与交付检查</x:v>
      </x:c>
      <x:c r="G17" s="50" t="str">
        <x:v>公式与交付检查</x:v>
      </x:c>
      <x:c r="H17" s="50" t="str">
        <x:v>公式与交付检查</x:v>
      </x:c>
      <x:c r="I17" s="50" t="str">
        <x:v>公式与交付检查</x:v>
      </x:c>
      <x:c r="J17" s="50" t="str">
        <x:v>公式与交付检查</x:v>
      </x:c>
    </x:row>
    <x:row r="18" ht="28" customHeight="1">
      <x:c r="A18" s="20" t="str">
        <x:v>检查</x:v>
      </x:c>
      <x:c r="B18" s="20" t="str">
        <x:v>公式/值</x:v>
      </x:c>
      <x:c r="C18" s="20" t="str">
        <x:v>门槛</x:v>
      </x:c>
      <x:c r="D18" s="20" t="str">
        <x:v>状态</x:v>
      </x:c>
      <x:c r="E18" s="20" t="str">
        <x:v>说明</x:v>
      </x:c>
    </x:row>
    <x:row r="19">
      <x:c r="A19" t="str">
        <x:v>FY26分市场加总</x:v>
      </x:c>
      <x:c r="B19" s="76" t="n">
        <x:f>'五年损益'!B9-SUM('五年损益'!B5:B8)</x:f>
        <x:v>0</x:v>
      </x:c>
      <x:c r="C19" s="76" t="n">
        <x:v>0</x:v>
      </x:c>
      <x:c r="D19" t="str">
        <x:f>IF(ABS(B19-C19)&lt;0.0001,"通过","失败")</x:f>
        <x:v>通过</x:v>
      </x:c>
      <x:c r="E19" t="str"/>
    </x:row>
    <x:row r="20">
      <x:c r="A20" t="str">
        <x:v>FY27分市场加总</x:v>
      </x:c>
      <x:c r="B20" s="76" t="n">
        <x:f>'五年损益'!C9-SUM('五年损益'!C5:C8)</x:f>
        <x:v>0</x:v>
      </x:c>
      <x:c r="C20" s="76" t="n">
        <x:v>0</x:v>
      </x:c>
      <x:c r="D20" t="str">
        <x:f>IF(ABS(B20-C20)&lt;0.0001,"通过","失败")</x:f>
        <x:v>通过</x:v>
      </x:c>
      <x:c r="E20" t="str"/>
    </x:row>
    <x:row r="21">
      <x:c r="A21" t="str">
        <x:v>FY31分市场加总</x:v>
      </x:c>
      <x:c r="B21" s="76" t="n">
        <x:f>'五年损益'!G9-SUM('五年损益'!G5:G8)</x:f>
        <x:v>0</x:v>
      </x:c>
      <x:c r="C21" s="76" t="n">
        <x:v>0</x:v>
      </x:c>
      <x:c r="D21" t="str">
        <x:f>IF(ABS(B21-C21)&lt;0.0001,"通过","失败")</x:f>
        <x:v>通过</x:v>
      </x:c>
      <x:c r="E21" t="str"/>
    </x:row>
    <x:row r="22">
      <x:c r="A22" t="str">
        <x:v>情景概率</x:v>
      </x:c>
      <x:c r="B22" s="76" t="n">
        <x:f>'情景模型'!I9-1</x:f>
        <x:v>0</x:v>
      </x:c>
      <x:c r="C22" s="76" t="n">
        <x:v>0</x:v>
      </x:c>
      <x:c r="D22" t="str">
        <x:f>IF(ABS(B22-C22)&lt;0.0001,"通过","失败")</x:f>
        <x:v>通过</x:v>
      </x:c>
      <x:c r="E22" t="str"/>
    </x:row>
    <x:row r="23">
      <x:c r="A23" t="str">
        <x:v>HBF Base收入</x:v>
      </x:c>
      <x:c r="B23" s="76" t="n">
        <x:f>SUM('五年损益'!C8:G8)</x:f>
        <x:v>0</x:v>
      </x:c>
      <x:c r="C23" s="76" t="n">
        <x:v>0</x:v>
      </x:c>
      <x:c r="D23" t="str">
        <x:f>IF(ABS(B23-C23)&lt;0.0001,"通过","失败")</x:f>
        <x:v>通过</x:v>
      </x:c>
      <x:c r="E23" t="str"/>
    </x:row>
    <x:row r="24">
      <x:c r="A24" t="str">
        <x:v>周期估值顺序</x:v>
      </x:c>
      <x:c r="B24" s="76" t="n">
        <x:f>IF(AND('估值与隐含预期'!I16&lt;'估值与隐含预期'!I17,'估值与隐含预期'!I17&lt;'估值与隐含预期'!I18),1,0)</x:f>
        <x:v>1</x:v>
      </x:c>
      <x:c r="C24" s="76" t="n">
        <x:v>1</x:v>
      </x:c>
      <x:c r="D24" t="str">
        <x:f>IF(ABS(B24-C24)&lt;0.0001,"通过","失败")</x:f>
        <x:v>通过</x:v>
      </x:c>
      <x:c r="E24" t="str">
        <x:v>Bear&lt;Base&lt;Bull</x:v>
      </x:c>
    </x:row>
    <x:row r="25">
      <x:c r="A25" t="str">
        <x:v>长期价值顺序</x:v>
      </x:c>
      <x:c r="B25" s="76" t="n">
        <x:f>IF(AND('估值与隐含预期'!B39&lt;'估值与隐含预期'!C39,'估值与隐含预期'!C39&lt;'估值与隐含预期'!D39),1,0)</x:f>
        <x:v>1</x:v>
      </x:c>
      <x:c r="C25" s="76" t="n">
        <x:v>1</x:v>
      </x:c>
      <x:c r="D25" t="str">
        <x:f>IF(ABS(B25-C25)&lt;0.0001,"通过","失败")</x:f>
        <x:v>通过</x:v>
      </x:c>
      <x:c r="E25" t="str">
        <x:v>Low&lt;Base&lt;High</x:v>
      </x:c>
    </x:row>
    <x:row r="26">
      <x:c r="A26" t="str">
        <x:v>当前价格已引用</x:v>
      </x:c>
      <x:c r="B26" t="n">
        <x:v>1350.034</x:v>
      </x:c>
      <x:c r="C26" t="str">
        <x:v>&gt;0</x:v>
      </x:c>
      <x:c r="D26" t="str">
        <x:v>通过</x:v>
      </x:c>
      <x:c r="E26" t="str"/>
    </x:row>
    <x:row r="27">
      <x:c r="A27" t="str">
        <x:v>Source Pack官方来源数</x:v>
      </x:c>
      <x:c r="B27" t="n">
        <x:v>7</x:v>
      </x:c>
      <x:c r="C27" t="str">
        <x:v>&gt;=6</x:v>
      </x:c>
      <x:c r="D27" t="str">
        <x:v>通过</x:v>
      </x:c>
      <x:c r="E27" t="str"/>
    </x:row>
    <x:row r="28">
      <x:c r="A28" t="str">
        <x:v>Human-required/限制已披露</x:v>
      </x:c>
      <x:c r="B28" t="n">
        <x:v>1</x:v>
      </x:c>
      <x:c r="C28" t="n">
        <x:f>1</x:f>
        <x:v>1</x:v>
      </x:c>
      <x:c r="D28" t="str">
        <x:v>通过</x:v>
      </x:c>
      <x:c r="E28" t="str"/>
    </x:row>
  </x:sheetData>
  <x:mergeCells>
    <x:mergeCell ref="A1:J1"/>
    <x:mergeCell ref="A2:J2"/>
    <x:mergeCell ref="A17:J17"/>
  </x:mergeCells>
  <x:conditionalFormatting sqref="D19:D25">
    <x:cfRule type="expression" dxfId="0" priority="1">
      <x:formula>D19="通过"</x:formula>
    </x:cfRule>
    <x:cfRule type="expression" dxfId="1" priority="2">
      <x:formula>D19="失败"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1" hidden="0" customWidth="1"/>
    <x:col min="4" max="4" width="35" hidden="0" customWidth="1"/>
    <x:col min="5" max="5" width="30" hidden="0" customWidth="1"/>
    <x:col min="6" max="6" width="18" hidden="0" customWidth="1"/>
    <x:col min="7" max="7" width="14" hidden="0" customWidth="1"/>
    <x:col min="8" max="8" width="30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Codex/ChatGPT统一交付清单</x:v>
      </x:c>
      <x:c r="B1" s="4" t="str">
        <x:v>Codex/ChatGPT统一交付清单</x:v>
      </x:c>
      <x:c r="C1" s="4" t="str">
        <x:v>Codex/ChatGPT统一交付清单</x:v>
      </x:c>
      <x:c r="D1" s="4" t="str">
        <x:v>Codex/ChatGPT统一交付清单</x:v>
      </x:c>
      <x:c r="E1" s="4" t="str">
        <x:v>Codex/ChatGPT统一交付清单</x:v>
      </x:c>
      <x:c r="F1" s="4" t="str">
        <x:v>Codex/ChatGPT统一交付清单</x:v>
      </x:c>
      <x:c r="G1" s="4" t="str">
        <x:v>Codex/ChatGPT统一交付清单</x:v>
      </x:c>
      <x:c r="H1" s="4" t="str">
        <x:v>Codex/ChatGPT统一交付清单</x:v>
      </x:c>
      <x:c r="I1" s="4" t="str">
        <x:v>Codex/ChatGPT统一交付清单</x:v>
      </x:c>
      <x:c r="J1" s="4" t="str">
        <x:v>Codex/ChatGPT统一交付清单</x:v>
      </x:c>
    </x:row>
    <x:row r="2" ht="35" customHeight="1">
      <x:c r="A2" s="11" t="str">
        <x:v>本页是v7.3新增的强制执行契约：未完成所有阶段和验证，不得输出最终结论。</x:v>
      </x:c>
      <x:c r="B2" s="11" t="str">
        <x:v>本页是v7.3新增的强制执行契约：未完成所有阶段和验证，不得输出最终结论。</x:v>
      </x:c>
      <x:c r="C2" s="11" t="str">
        <x:v>本页是v7.3新增的强制执行契约：未完成所有阶段和验证，不得输出最终结论。</x:v>
      </x:c>
      <x:c r="D2" s="11" t="str">
        <x:v>本页是v7.3新增的强制执行契约：未完成所有阶段和验证，不得输出最终结论。</x:v>
      </x:c>
      <x:c r="E2" s="11" t="str">
        <x:v>本页是v7.3新增的强制执行契约：未完成所有阶段和验证，不得输出最终结论。</x:v>
      </x:c>
      <x:c r="F2" s="11" t="str">
        <x:v>本页是v7.3新增的强制执行契约：未完成所有阶段和验证，不得输出最终结论。</x:v>
      </x:c>
      <x:c r="G2" s="11" t="str">
        <x:v>本页是v7.3新增的强制执行契约：未完成所有阶段和验证，不得输出最终结论。</x:v>
      </x:c>
      <x:c r="H2" s="11" t="str">
        <x:v>本页是v7.3新增的强制执行契约：未完成所有阶段和验证，不得输出最终结论。</x:v>
      </x:c>
      <x:c r="I2" s="11" t="str">
        <x:v>本页是v7.3新增的强制执行契约：未完成所有阶段和验证，不得输出最终结论。</x:v>
      </x:c>
      <x:c r="J2" s="11" t="str">
        <x:v>本页是v7.3新增的强制执行契约：未完成所有阶段和验证，不得输出最终结论。</x:v>
      </x:c>
    </x:row>
    <x:row r="4" ht="28" customHeight="1">
      <x:c r="A4" s="20" t="str">
        <x:v>阶段</x:v>
      </x:c>
      <x:c r="B4" s="20" t="str">
        <x:v>必须产物</x:v>
      </x:c>
      <x:c r="C4" s="20" t="str">
        <x:v>本次文件/工作表</x:v>
      </x:c>
      <x:c r="D4" s="20" t="str">
        <x:v>最低标准</x:v>
      </x:c>
      <x:c r="E4" s="20" t="str">
        <x:v>验证方法</x:v>
      </x:c>
      <x:c r="F4" s="20" t="str">
        <x:v>责任角色</x:v>
      </x:c>
      <x:c r="G4" s="20" t="str">
        <x:v>状态</x:v>
      </x:c>
      <x:c r="H4" s="20" t="str">
        <x:v>备注</x:v>
      </x:c>
    </x:row>
    <x:row r="5" ht="52" customHeight="1">
      <x:c r="A5" s="26" t="str">
        <x:v>0 任务合同</x:v>
      </x:c>
      <x:c r="B5" s="26" t="str">
        <x:v>run_manifest.json</x:v>
      </x:c>
      <x:c r="C5" s="26" t="str">
        <x:v>本页＋报告首段</x:v>
      </x:c>
      <x:c r="D5" s="26" t="str">
        <x:v>entity/as_of/用途/期间/口径清楚</x:v>
      </x:c>
      <x:c r="E5" s="26" t="str">
        <x:v>人工/脚本</x:v>
      </x:c>
      <x:c r="F5" s="26" t="str">
        <x:v>整合者</x:v>
      </x:c>
      <x:c r="G5" s="26" t="str">
        <x:v>完成</x:v>
      </x:c>
      <x:c r="H5" s="26" t="str"/>
    </x:row>
    <x:row r="6" ht="52" customHeight="1">
      <x:c r="A6" s="26" t="str">
        <x:v>1 Source Pack</x:v>
      </x:c>
      <x:c r="B6" s="26" t="str">
        <x:v>source_manifest.csv/json</x:v>
      </x:c>
      <x:c r="C6" s="26" t="str">
        <x:v>Source Pack</x:v>
      </x:c>
      <x:c r="D6" s="26" t="str">
        <x:v>最新10-Q、近4季财报、产品/合同/JV、价格</x:v>
      </x:c>
      <x:c r="E6" s="26" t="str">
        <x:v>官方URL和时间</x:v>
      </x:c>
      <x:c r="F6" s="26" t="str">
        <x:v>事实研究</x:v>
      </x:c>
      <x:c r="G6" s="26" t="str">
        <x:v>完成</x:v>
      </x:c>
      <x:c r="H6" s="26" t="str"/>
    </x:row>
    <x:row r="7" ht="52" customHeight="1">
      <x:c r="A7" s="26" t="str">
        <x:v>2 事实归一</x:v>
      </x:c>
      <x:c r="B7" s="26" t="str">
        <x:v>fact_table/历史桥</x:v>
      </x:c>
      <x:c r="C7" s="26" t="str">
        <x:v>历史与FY26桥</x:v>
      </x:c>
      <x:c r="D7" s="26" t="str">
        <x:v>事实/派生/假设分层</x:v>
      </x:c>
      <x:c r="E7" s="26" t="str">
        <x:v>勾稽</x:v>
      </x:c>
      <x:c r="F7" s="26" t="str">
        <x:v>财务研究</x:v>
      </x:c>
      <x:c r="G7" s="26" t="str">
        <x:v>完成</x:v>
      </x:c>
      <x:c r="H7" s="26" t="str"/>
    </x:row>
    <x:row r="8" ht="52" customHeight="1">
      <x:c r="A8" s="26" t="str">
        <x:v>3 机制路由</x:v>
      </x:c>
      <x:c r="B8" s="26" t="str">
        <x:v>mechanism_map</x:v>
      </x:c>
      <x:c r="C8" s="26" t="str">
        <x:v>客户合同产品JV</x:v>
      </x:c>
      <x:c r="D8" s="26" t="str">
        <x:v>bit/ASP/cost＋channel＋contracts/JV＋stage gate</x:v>
      </x:c>
      <x:c r="E8" s="26" t="str">
        <x:v>100%经济覆盖</x:v>
      </x:c>
      <x:c r="F8" s="26" t="str">
        <x:v>行业研究</x:v>
      </x:c>
      <x:c r="G8" s="26" t="str">
        <x:v>完成</x:v>
      </x:c>
      <x:c r="H8" s="26" t="str"/>
    </x:row>
    <x:row r="9" ht="52" customHeight="1">
      <x:c r="A9" s="26" t="str">
        <x:v>4 经营模型</x:v>
      </x:c>
      <x:c r="B9" s="26" t="str">
        <x:v>formula workbook</x:v>
      </x:c>
      <x:c r="C9" s="26" t="str">
        <x:v>FY27季度模型/FY28-31驱动/五年损益</x:v>
      </x:c>
      <x:c r="D9" s="26" t="str">
        <x:v>季度1年＋五年公式</x:v>
      </x:c>
      <x:c r="E9" s="26" t="str">
        <x:v>公式扫描</x:v>
      </x:c>
      <x:c r="F9" s="26" t="str">
        <x:v>模型者</x:v>
      </x:c>
      <x:c r="G9" s="26" t="str">
        <x:v>完成</x:v>
      </x:c>
      <x:c r="H9" s="26" t="str"/>
    </x:row>
    <x:row r="10" ht="52" customHeight="1">
      <x:c r="A10" s="26" t="str">
        <x:v>5 现金和估值</x:v>
      </x:c>
      <x:c r="B10" s="26" t="str">
        <x:v>cash/valuation</x:v>
      </x:c>
      <x:c r="C10" s="26" t="str">
        <x:v>现金流与资本/估值与隐含预期</x:v>
      </x:c>
      <x:c r="D10" s="26" t="str">
        <x:v>经济资本、周期/正常化/反向估值</x:v>
      </x:c>
      <x:c r="E10" s="26" t="str">
        <x:v>双算检查</x:v>
      </x:c>
      <x:c r="F10" s="26" t="str">
        <x:v>估值者</x:v>
      </x:c>
      <x:c r="G10" s="26" t="str">
        <x:v>完成</x:v>
      </x:c>
      <x:c r="H10" s="26" t="str"/>
    </x:row>
    <x:row r="11" ht="52" customHeight="1">
      <x:c r="A11" s="26" t="str">
        <x:v>6 红队</x:v>
      </x:c>
      <x:c r="B11" s="26" t="str">
        <x:v>red_team.md</x:v>
      </x:c>
      <x:c r="C11" s="26" t="str">
        <x:v>监测与质量门</x:v>
      </x:c>
      <x:c r="D11" s="26" t="str">
        <x:v>至少5个失败点/未知项/反证</x:v>
      </x:c>
      <x:c r="E11" s="26" t="str">
        <x:v>独立审查</x:v>
      </x:c>
      <x:c r="F11" s="26" t="str">
        <x:v>Reviewer</x:v>
      </x:c>
      <x:c r="G11" s="26" t="str">
        <x:v>完成</x:v>
      </x:c>
      <x:c r="H11" s="26" t="str"/>
    </x:row>
    <x:row r="12" ht="52" customHeight="1">
      <x:c r="A12" s="26" t="str">
        <x:v>7 最终报告</x:v>
      </x:c>
      <x:c r="B12" s="26" t="str">
        <x:v>report.md＋xlsx</x:v>
      </x:c>
      <x:c r="C12" s="26" t="str">
        <x:v>封面摘要＋外部MD</x:v>
      </x:c>
      <x:c r="D12" s="26" t="str">
        <x:v>结论、逻辑、数据、限制和触发器</x:v>
      </x:c>
      <x:c r="E12" s="26" t="str">
        <x:v>delivery validator</x:v>
      </x:c>
      <x:c r="F12" s="26" t="str">
        <x:v>整合者</x:v>
      </x:c>
      <x:c r="G12" s="26" t="str">
        <x:v>完成</x:v>
      </x:c>
      <x:c r="H12" s="26" t="str"/>
    </x:row>
    <x:row r="13" ht="52" customHeight="1">
      <x:c r="A13" s="26" t="str">
        <x:v>8 快照</x:v>
      </x:c>
      <x:c r="B13" s="26" t="str">
        <x:v>forecast_snapshot.json/hash</x:v>
      </x:c>
      <x:c r="C13" s="26" t="str">
        <x:v>Skill资产内生成</x:v>
      </x:c>
      <x:c r="D13" s="26" t="str">
        <x:v>不可回改、版本化</x:v>
      </x:c>
      <x:c r="E13" s="26" t="str">
        <x:v>freeze_snapshot</x:v>
      </x:c>
      <x:c r="F13" s="26" t="str">
        <x:v>整合者</x:v>
      </x:c>
      <x:c r="G13" s="26" t="str">
        <x:v>待打包</x:v>
      </x:c>
      <x:c r="H13" s="26" t="str"/>
    </x:row>
    <x:row r="16" ht="21" customHeight="1">
      <x:c r="A16" s="50" t="str">
        <x:v>Codex Ultra并行角色（可用时）</x:v>
      </x:c>
      <x:c r="B16" s="50" t="str">
        <x:v>Codex Ultra并行角色（可用时）</x:v>
      </x:c>
      <x:c r="C16" s="50" t="str">
        <x:v>Codex Ultra并行角色（可用时）</x:v>
      </x:c>
      <x:c r="D16" s="50" t="str">
        <x:v>Codex Ultra并行角色（可用时）</x:v>
      </x:c>
      <x:c r="E16" s="50" t="str">
        <x:v>Codex Ultra并行角色（可用时）</x:v>
      </x:c>
      <x:c r="F16" s="50" t="str">
        <x:v>Codex Ultra并行角色（可用时）</x:v>
      </x:c>
      <x:c r="G16" s="50" t="str">
        <x:v>Codex Ultra并行角色（可用时）</x:v>
      </x:c>
      <x:c r="H16" s="50" t="str">
        <x:v>Codex Ultra并行角色（可用时）</x:v>
      </x:c>
      <x:c r="I16" s="50" t="str">
        <x:v>Codex Ultra并行角色（可用时）</x:v>
      </x:c>
      <x:c r="J16" s="50" t="str">
        <x:v>Codex Ultra并行角色（可用时）</x:v>
      </x:c>
    </x:row>
    <x:row r="17" ht="28" customHeight="1">
      <x:c r="A17" s="20" t="str">
        <x:v>角色</x:v>
      </x:c>
      <x:c r="B17" s="20" t="str">
        <x:v>职责</x:v>
      </x:c>
      <x:c r="C17" s="20" t="str">
        <x:v>不得做</x:v>
      </x:c>
      <x:c r="D17" s="20" t="str">
        <x:v>输出</x:v>
      </x:c>
      <x:c r="E17" s="20" t="str">
        <x:v>合并门槛</x:v>
      </x:c>
      <x:c r="F17" s="20" t="str">
        <x:v>状态</x:v>
      </x:c>
    </x:row>
    <x:row r="18" ht="45" customHeight="1">
      <x:c r="A18" s="26" t="str">
        <x:v>Filings</x:v>
      </x:c>
      <x:c r="B18" s="26" t="str">
        <x:v>法定财务/合同/JV/会计</x:v>
      </x:c>
      <x:c r="C18" s="26" t="str">
        <x:v>预测点值</x:v>
      </x:c>
      <x:c r="D18" s="26" t="str">
        <x:v>facts＋source pack</x:v>
      </x:c>
      <x:c r="E18" s="26" t="str">
        <x:v>E0勾稽</x:v>
      </x:c>
      <x:c r="F18" s="26" t="str">
        <x:v>完成</x:v>
      </x:c>
    </x:row>
    <x:row r="19" ht="45" customHeight="1">
      <x:c r="A19" s="26" t="str">
        <x:v>Demand</x:v>
      </x:c>
      <x:c r="B19" s="26" t="str">
        <x:v>客户/渠道/AI需求/竞争</x:v>
      </x:c>
      <x:c r="C19" s="26" t="str">
        <x:v>认定未确认客户份额</x:v>
      </x:c>
      <x:c r="D19" s="26" t="str">
        <x:v>demand tree</x:v>
      </x:c>
      <x:c r="E19" s="26" t="str">
        <x:v>事实/假设分层</x:v>
      </x:c>
      <x:c r="F19" s="26" t="str">
        <x:v>完成</x:v>
      </x:c>
    </x:row>
    <x:row r="20" ht="45" customHeight="1">
      <x:c r="A20" s="26" t="str">
        <x:v>Supply/Tech</x:v>
      </x:c>
      <x:c r="B20" s="26" t="str">
        <x:v>节点/产品阶段/FV/成本</x:v>
      </x:c>
      <x:c r="C20" s="26" t="str">
        <x:v>把送样当量产</x:v>
      </x:c>
      <x:c r="D20" s="26" t="str">
        <x:v>stage/supply map</x:v>
      </x:c>
      <x:c r="E20" s="26" t="str">
        <x:v>stage gate</x:v>
      </x:c>
      <x:c r="F20" s="26" t="str">
        <x:v>完成</x:v>
      </x:c>
    </x:row>
    <x:row r="21" ht="45" customHeight="1">
      <x:c r="A21" s="26" t="str">
        <x:v>Model/Valuation</x:v>
      </x:c>
      <x:c r="B21" s="26" t="str">
        <x:v>公式、现金、估值</x:v>
      </x:c>
      <x:c r="C21" s="26" t="str">
        <x:v>从目标价反填</x:v>
      </x:c>
      <x:c r="D21" s="26" t="str">
        <x:v>xlsx＋reverse model</x:v>
      </x:c>
      <x:c r="E21" s="26" t="str">
        <x:v>公式/QC</x:v>
      </x:c>
      <x:c r="F21" s="26" t="str">
        <x:v>完成</x:v>
      </x:c>
    </x:row>
    <x:row r="22" ht="45" customHeight="1">
      <x:c r="A22" s="26" t="str">
        <x:v>Red Team</x:v>
      </x:c>
      <x:c r="B22" s="26" t="str">
        <x:v>反证、双算、过拟合、未知项</x:v>
      </x:c>
      <x:c r="C22" s="26" t="str">
        <x:v>修改Base以迎合结论</x:v>
      </x:c>
      <x:c r="D22" s="26" t="str">
        <x:v>red-team memo</x:v>
      </x:c>
      <x:c r="E22" s="26" t="str">
        <x:v>问题关闭/披露</x:v>
      </x:c>
      <x:c r="F22" s="26" t="str">
        <x:v>完成</x:v>
      </x:c>
    </x:row>
  </x:sheetData>
  <x:mergeCells>
    <x:mergeCell ref="A1:J1"/>
    <x:mergeCell ref="A2:J2"/>
    <x:mergeCell ref="A16:J16"/>
  </x:mergeCells>
  <x:conditionalFormatting sqref="G5:G13">
    <x:cfRule type="expression" dxfId="2" priority="1">
      <x:formula>G5="完成"</x:formula>
    </x:cfRule>
    <x:cfRule type="expression" dxfId="3" priority="2">
      <x:formula>G5="待打包"</x:formula>
    </x:cfRule>
  </x:conditionalFormatting>
  <x:pageMargins left="0.7" right="0.7" top="0.75" bottom="0.75" header="0.3" footer="0.3"/>
</x:worksheet>
</file>