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5a1933e47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1a625be5dd2b4e37"/>
    <x:sheet xmlns:r="http://schemas.openxmlformats.org/officeDocument/2006/relationships" name="扩展样本" sheetId="2" r:id="R7653d55690684714"/>
    <x:sheet xmlns:r="http://schemas.openxmlformats.org/officeDocument/2006/relationships" name="新样本预测明细" sheetId="3" r:id="R5d9053110be44fe4"/>
    <x:sheet xmlns:r="http://schemas.openxmlformats.org/officeDocument/2006/relationships" name="误差与回归" sheetId="4" r:id="Rbc47dc99a1634c9c"/>
    <x:sheet xmlns:r="http://schemas.openxmlformats.org/officeDocument/2006/relationships" name="失败归因" sheetId="5" r:id="R56961a29e6a2462b"/>
    <x:sheet xmlns:r="http://schemas.openxmlformats.org/officeDocument/2006/relationships" name="v6经营原型" sheetId="6" r:id="R48f8bc54004b4005"/>
    <x:sheet xmlns:r="http://schemas.openxmlformats.org/officeDocument/2006/relationships" name="数据源SOP" sheetId="7" r:id="R307a4b570c184916"/>
    <x:sheet xmlns:r="http://schemas.openxmlformats.org/officeDocument/2006/relationships" name="预测SOP" sheetId="8" r:id="R8a4842e4aa5a4b43"/>
    <x:sheet xmlns:r="http://schemas.openxmlformats.org/officeDocument/2006/relationships" name="回测SOP" sheetId="9" r:id="R94cead5f084e4597"/>
    <x:sheet xmlns:r="http://schemas.openxmlformats.org/officeDocument/2006/relationships" name="Skill包清单" sheetId="10" r:id="Rb838238cf6c84a21"/>
    <x:sheet xmlns:r="http://schemas.openxmlformats.org/officeDocument/2006/relationships" name="证据台账" sheetId="11" r:id="R9f3f78ef8d76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0.0"/>
    <x:numFmt numFmtId="202" formatCode="0.000"/>
    <x:numFmt numFmtId="203" formatCode="#,##0.0;[Red](#,##0.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9"/>
      <x:color rgb="FF344054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0"/>
      <x:color rgb="FF7F6000"/>
      <x:name val="Carlito"/>
    </x:font>
    <x:font>
      <x:sz val="11"/>
      <x:color rgb="FF008000"/>
      <x:name val="Carlito"/>
    </x:font>
    <x:font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0" fillId="6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2" fontId="0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6" fillId="0" borderId="1" xfId="0" applyNumberFormat="1" applyFont="1" applyFill="1" applyBorder="1"/>
    <x:xf numFmtId="0" fontId="7" fillId="8" borderId="0" xfId="0" applyNumberFormat="1" applyFont="1" applyFill="1" applyBorder="1"/>
    <x:xf numFmtId="203" fontId="7" fillId="8" borderId="0" xfId="0" applyNumberFormat="1" applyFont="1" applyFill="1" applyBorder="1"/>
    <x:xf numFmtId="0" fontId="7" fillId="8" borderId="1" xfId="0" applyNumberFormat="1" applyFont="1" applyFill="1" applyBorder="1"/>
    <x:xf numFmtId="203" fontId="7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9d6b4c58f48f1" /><Relationship Type="http://schemas.openxmlformats.org/officeDocument/2006/relationships/theme" Target="/xl/theme/theme1.xml" Id="R94095567f89a485f" /><Relationship Type="http://schemas.openxmlformats.org/officeDocument/2006/relationships/sharedStrings" Target="/xl/sharedStrings.xml" Id="Rffede1060e5847cd" /><Relationship Type="http://schemas.openxmlformats.org/officeDocument/2006/relationships/worksheet" Target="/xl/worksheets/sheet1.xml" Id="R1a625be5dd2b4e37" /><Relationship Type="http://schemas.openxmlformats.org/officeDocument/2006/relationships/worksheet" Target="/xl/worksheets/sheet2.xml" Id="R7653d55690684714" /><Relationship Type="http://schemas.openxmlformats.org/officeDocument/2006/relationships/worksheet" Target="/xl/worksheets/sheet3.xml" Id="R5d9053110be44fe4" /><Relationship Type="http://schemas.openxmlformats.org/officeDocument/2006/relationships/worksheet" Target="/xl/worksheets/sheet4.xml" Id="Rbc47dc99a1634c9c" /><Relationship Type="http://schemas.openxmlformats.org/officeDocument/2006/relationships/worksheet" Target="/xl/worksheets/sheet5.xml" Id="R56961a29e6a2462b" /><Relationship Type="http://schemas.openxmlformats.org/officeDocument/2006/relationships/worksheet" Target="/xl/worksheets/sheet6.xml" Id="R48f8bc54004b4005" /><Relationship Type="http://schemas.openxmlformats.org/officeDocument/2006/relationships/worksheet" Target="/xl/worksheets/sheet7.xml" Id="R307a4b570c184916" /><Relationship Type="http://schemas.openxmlformats.org/officeDocument/2006/relationships/worksheet" Target="/xl/worksheets/sheet8.xml" Id="R8a4842e4aa5a4b43" /><Relationship Type="http://schemas.openxmlformats.org/officeDocument/2006/relationships/worksheet" Target="/xl/worksheets/sheet9.xml" Id="R94cead5f084e4597" /><Relationship Type="http://schemas.openxmlformats.org/officeDocument/2006/relationships/worksheet" Target="/xl/worksheets/sheet10.xml" Id="Rb838238cf6c84a21" /><Relationship Type="http://schemas.openxmlformats.org/officeDocument/2006/relationships/worksheet" Target="/xl/worksheets/sheet11.xml" Id="R9f3f78ef8d7646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8" hidden="0" customWidth="1"/>
    <x:col min="5" max="5" width="42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4" t="str">
        <x:v>AI硬件预测框架 v6：扩展回测、旧场景回归与Skill交付</x:v>
      </x:c>
      <x:c r="B1" s="4" t="str">
        <x:v>AI硬件预测框架 v6：扩展回测、旧场景回归与Skill交付</x:v>
      </x:c>
      <x:c r="C1" s="4" t="str">
        <x:v>AI硬件预测框架 v6：扩展回测、旧场景回归与Skill交付</x:v>
      </x:c>
      <x:c r="D1" s="4" t="str">
        <x:v>AI硬件预测框架 v6：扩展回测、旧场景回归与Skill交付</x:v>
      </x:c>
      <x:c r="E1" s="4" t="str">
        <x:v>AI硬件预测框架 v6：扩展回测、旧场景回归与Skill交付</x:v>
      </x:c>
      <x:c r="F1" s="4" t="str">
        <x:v>AI硬件预测框架 v6：扩展回测、旧场景回归与Skill交付</x:v>
      </x:c>
      <x:c r="G1" s="4" t="str">
        <x:v>AI硬件预测框架 v6：扩展回测、旧场景回归与Skill交付</x:v>
      </x:c>
      <x:c r="H1" s="4" t="str">
        <x:v>AI硬件预测框架 v6：扩展回测、旧场景回归与Skill交付</x:v>
      </x:c>
      <x:c r="I1" s="4" t="str">
        <x:v>AI硬件预测框架 v6：扩展回测、旧场景回归与Skill交付</x:v>
      </x:c>
      <x:c r="J1" s="4" t="str">
        <x:v>AI硬件预测框架 v6：扩展回测、旧场景回归与Skill交付</x:v>
      </x:c>
      <x:c r="K1" s="4" t="str">
        <x:v>AI硬件预测框架 v6：扩展回测、旧场景回归与Skill交付</x:v>
      </x:c>
      <x:c r="L1" s="4" t="str">
        <x:v>AI硬件预测框架 v6：扩展回测、旧场景回归与Skill交付</x:v>
      </x:c>
    </x:row>
    <x:row r="2" ht="35" customHeight="1">
      <x:c r="A2" s="11" t="str">
        <x:v>新增覆盖设备、过程控制、网络、服务器、电力散热、先进封装、材料、光学以及并购型平台；旧96个预测点保持零回归。</x:v>
      </x:c>
      <x:c r="B2" s="11" t="str">
        <x:v>新增覆盖设备、过程控制、网络、服务器、电力散热、先进封装、材料、光学以及并购型平台；旧96个预测点保持零回归。</x:v>
      </x:c>
      <x:c r="C2" s="11" t="str">
        <x:v>新增覆盖设备、过程控制、网络、服务器、电力散热、先进封装、材料、光学以及并购型平台；旧96个预测点保持零回归。</x:v>
      </x:c>
      <x:c r="D2" s="11" t="str">
        <x:v>新增覆盖设备、过程控制、网络、服务器、电力散热、先进封装、材料、光学以及并购型平台；旧96个预测点保持零回归。</x:v>
      </x:c>
      <x:c r="E2" s="11" t="str">
        <x:v>新增覆盖设备、过程控制、网络、服务器、电力散热、先进封装、材料、光学以及并购型平台；旧96个预测点保持零回归。</x:v>
      </x:c>
      <x:c r="F2" s="11" t="str">
        <x:v>新增覆盖设备、过程控制、网络、服务器、电力散热、先进封装、材料、光学以及并购型平台；旧96个预测点保持零回归。</x:v>
      </x:c>
      <x:c r="G2" s="11" t="str">
        <x:v>新增覆盖设备、过程控制、网络、服务器、电力散热、先进封装、材料、光学以及并购型平台；旧96个预测点保持零回归。</x:v>
      </x:c>
      <x:c r="H2" s="11" t="str">
        <x:v>新增覆盖设备、过程控制、网络、服务器、电力散热、先进封装、材料、光学以及并购型平台；旧96个预测点保持零回归。</x:v>
      </x:c>
      <x:c r="I2" s="11" t="str">
        <x:v>新增覆盖设备、过程控制、网络、服务器、电力散热、先进封装、材料、光学以及并购型平台；旧96个预测点保持零回归。</x:v>
      </x:c>
      <x:c r="J2" s="11" t="str">
        <x:v>新增覆盖设备、过程控制、网络、服务器、电力散热、先进封装、材料、光学以及并购型平台；旧96个预测点保持零回归。</x:v>
      </x:c>
      <x:c r="K2" s="11" t="str">
        <x:v>新增覆盖设备、过程控制、网络、服务器、电力散热、先进封装、材料、光学以及并购型平台；旧96个预测点保持零回归。</x:v>
      </x:c>
      <x:c r="L2" s="11" t="str">
        <x:v>新增覆盖设备、过程控制、网络、服务器、电力散热、先进封装、材料、光学以及并购型平台；旧96个预测点保持零回归。</x:v>
      </x:c>
    </x:row>
    <x:row r="4" ht="21" customHeight="1">
      <x:c r="A4" s="18" t="str">
        <x:v>一、验证规模</x:v>
      </x:c>
      <x:c r="B4" s="18" t="str">
        <x:v>一、验证规模</x:v>
      </x:c>
      <x:c r="C4" s="18" t="str">
        <x:v>一、验证规模</x:v>
      </x:c>
      <x:c r="D4" s="18" t="str">
        <x:v>一、验证规模</x:v>
      </x:c>
      <x:c r="E4" s="18" t="str">
        <x:v>一、验证规模</x:v>
      </x:c>
      <x:c r="F4" s="18" t="str">
        <x:v>一、验证规模</x:v>
      </x:c>
      <x:c r="G4" s="18" t="str">
        <x:v>一、验证规模</x:v>
      </x:c>
      <x:c r="H4" s="18" t="str">
        <x:v>一、验证规模</x:v>
      </x:c>
      <x:c r="I4" s="18" t="str">
        <x:v>一、验证规模</x:v>
      </x:c>
      <x:c r="J4" s="18" t="str">
        <x:v>一、验证规模</x:v>
      </x:c>
      <x:c r="K4" s="18" t="str">
        <x:v>一、验证规模</x:v>
      </x:c>
      <x:c r="L4" s="18" t="str">
        <x:v>一、验证规模</x:v>
      </x:c>
    </x:row>
    <x:row r="5" ht="28" customHeight="1">
      <x:c r="A5" s="26" t="str">
        <x:v>项目</x:v>
      </x:c>
      <x:c r="B5" s="26" t="str">
        <x:v>数量/结果</x:v>
      </x:c>
      <x:c r="C5" s="26" t="str">
        <x:v>说明</x:v>
      </x:c>
    </x:row>
    <x:row r="6">
      <x:c r="A6" t="str">
        <x:v>原锁定截面</x:v>
      </x:c>
      <x:c r="B6" t="n">
        <x:v>16</x:v>
      </x:c>
      <x:c r="C6" t="str">
        <x:v>v5历史基准</x:v>
      </x:c>
    </x:row>
    <x:row r="7">
      <x:c r="A7" t="str">
        <x:v>原锁定预测点</x:v>
      </x:c>
      <x:c r="B7" t="n">
        <x:v>96</x:v>
      </x:c>
      <x:c r="C7" t="str">
        <x:v>收入和利润</x:v>
      </x:c>
    </x:row>
    <x:row r="8">
      <x:c r="A8" t="str">
        <x:v>新增截面</x:v>
      </x:c>
      <x:c r="B8" t="n">
        <x:v>10</x:v>
      </x:c>
      <x:c r="C8" t="str">
        <x:v>5个校准、5个伪留出</x:v>
      </x:c>
    </x:row>
    <x:row r="9">
      <x:c r="A9" t="str">
        <x:v>新增预测点</x:v>
      </x:c>
      <x:c r="B9" t="n">
        <x:v>60</x:v>
      </x:c>
      <x:c r="C9" t="str">
        <x:v>收入和利润</x:v>
      </x:c>
    </x:row>
    <x:row r="11" ht="21" customHeight="1">
      <x:c r="A11" s="18" t="str">
        <x:v>二、新增伪留出：v5与v6</x:v>
      </x:c>
      <x:c r="B11" s="18" t="str">
        <x:v>二、新增伪留出：v5与v6</x:v>
      </x:c>
      <x:c r="C11" s="18" t="str">
        <x:v>二、新增伪留出：v5与v6</x:v>
      </x:c>
      <x:c r="D11" s="18" t="str">
        <x:v>二、新增伪留出：v5与v6</x:v>
      </x:c>
      <x:c r="E11" s="18" t="str">
        <x:v>二、新增伪留出：v5与v6</x:v>
      </x:c>
      <x:c r="F11" s="18" t="str">
        <x:v>二、新增伪留出：v5与v6</x:v>
      </x:c>
      <x:c r="G11" s="18" t="str">
        <x:v>二、新增伪留出：v5与v6</x:v>
      </x:c>
      <x:c r="H11" s="18" t="str">
        <x:v>二、新增伪留出：v5与v6</x:v>
      </x:c>
      <x:c r="I11" s="18" t="str">
        <x:v>二、新增伪留出：v5与v6</x:v>
      </x:c>
      <x:c r="J11" s="18" t="str">
        <x:v>二、新增伪留出：v5与v6</x:v>
      </x:c>
      <x:c r="K11" s="18" t="str">
        <x:v>二、新增伪留出：v5与v6</x:v>
      </x:c>
      <x:c r="L11" s="18" t="str">
        <x:v>二、新增伪留出：v5与v6</x:v>
      </x:c>
    </x:row>
    <x:row r="12" ht="28" customHeight="1">
      <x:c r="A12" s="26" t="str">
        <x:v>版本</x:v>
      </x:c>
      <x:c r="B12" s="26" t="str">
        <x:v>收入MAPE</x:v>
      </x:c>
      <x:c r="C12" s="26" t="str">
        <x:v>利润率误差pp</x:v>
      </x:c>
      <x:c r="D12" s="26" t="str">
        <x:v>收入方向</x:v>
      </x:c>
      <x:c r="E12" s="26" t="str">
        <x:v>利润符号</x:v>
      </x:c>
      <x:c r="F12" s="26" t="str">
        <x:v>收入覆盖</x:v>
      </x:c>
      <x:c r="G12" s="26" t="str">
        <x:v>利润覆盖</x:v>
      </x:c>
      <x:c r="H12" s="26" t="str">
        <x:v>收入区间分数</x:v>
      </x:c>
      <x:c r="I12" s="26" t="str">
        <x:v>利润区间分数</x:v>
      </x:c>
    </x:row>
    <x:row r="13">
      <x:c r="A13" s="38" t="str">
        <x:v>v5统一模型</x:v>
      </x:c>
      <x:c r="B13" s="39" t="n">
        <x:v>0.19038190178572406</x:v>
      </x:c>
      <x:c r="C13" s="40" t="n">
        <x:v>6.223917709999294</x:v>
      </x:c>
      <x:c r="D13" s="39" t="n">
        <x:v>0.8</x:v>
      </x:c>
      <x:c r="E13" s="39" t="n">
        <x:v>1</x:v>
      </x:c>
      <x:c r="F13" s="39" t="n">
        <x:v>0.4666666666666667</x:v>
      </x:c>
      <x:c r="G13" s="39" t="n">
        <x:v>0.5333333333333333</x:v>
      </x:c>
      <x:c r="H13" s="41" t="n">
        <x:v>1.0469528744325454</x:v>
      </x:c>
      <x:c r="I13" s="41" t="n">
        <x:v>0.3386092299142874</x:v>
      </x:c>
    </x:row>
    <x:row r="14">
      <x:c r="A14" s="46" t="str">
        <x:v>v6原型模型</x:v>
      </x:c>
      <x:c r="B14" s="47" t="n">
        <x:v>0.030185220583881702</x:v>
      </x:c>
      <x:c r="C14" s="48" t="n">
        <x:v>0.6112916166765384</x:v>
      </x:c>
      <x:c r="D14" s="47" t="n">
        <x:v>1</x:v>
      </x:c>
      <x:c r="E14" s="47" t="n">
        <x:v>1</x:v>
      </x:c>
      <x:c r="F14" s="47" t="n">
        <x:v>1</x:v>
      </x:c>
      <x:c r="G14" s="47" t="n">
        <x:v>1</x:v>
      </x:c>
      <x:c r="H14" s="49" t="n">
        <x:v>0.43952809659325337</x:v>
      </x:c>
      <x:c r="I14" s="49" t="n">
        <x:v>0.18780073532231667</x:v>
      </x:c>
    </x:row>
    <x:row r="16" ht="21" customHeight="1">
      <x:c r="A16" s="18" t="str">
        <x:v>三、旧场景零回归</x:v>
      </x:c>
      <x:c r="B16" s="18" t="str">
        <x:v>三、旧场景零回归</x:v>
      </x:c>
      <x:c r="C16" s="18" t="str">
        <x:v>三、旧场景零回归</x:v>
      </x:c>
      <x:c r="D16" s="18" t="str">
        <x:v>三、旧场景零回归</x:v>
      </x:c>
      <x:c r="E16" s="18" t="str">
        <x:v>三、旧场景零回归</x:v>
      </x:c>
      <x:c r="F16" s="18" t="str">
        <x:v>三、旧场景零回归</x:v>
      </x:c>
      <x:c r="G16" s="18" t="str">
        <x:v>三、旧场景零回归</x:v>
      </x:c>
      <x:c r="H16" s="18" t="str">
        <x:v>三、旧场景零回归</x:v>
      </x:c>
      <x:c r="I16" s="18" t="str">
        <x:v>三、旧场景零回归</x:v>
      </x:c>
      <x:c r="J16" s="18" t="str">
        <x:v>三、旧场景零回归</x:v>
      </x:c>
      <x:c r="K16" s="18" t="str">
        <x:v>三、旧场景零回归</x:v>
      </x:c>
      <x:c r="L16" s="18" t="str">
        <x:v>三、旧场景零回归</x:v>
      </x:c>
    </x:row>
    <x:row r="17" ht="28" customHeight="1">
      <x:c r="A17" s="26" t="str">
        <x:v>检查</x:v>
      </x:c>
      <x:c r="B17" s="26" t="str">
        <x:v>结果</x:v>
      </x:c>
      <x:c r="C17" s="26" t="str">
        <x:v>门槛</x:v>
      </x:c>
      <x:c r="D17" s="26" t="str">
        <x:v>状态</x:v>
      </x:c>
    </x:row>
    <x:row r="18" ht="30" customHeight="1">
      <x:c r="A18" t="str">
        <x:v>旧预测行</x:v>
      </x:c>
      <x:c r="B18" t="n">
        <x:v>96</x:v>
      </x:c>
      <x:c r="C18" t="str">
        <x:v>必须完整</x:v>
      </x:c>
      <x:c r="D18" t="str">
        <x:v>通过</x:v>
      </x:c>
    </x:row>
    <x:row r="19" ht="30" customHeight="1">
      <x:c r="A19" t="str">
        <x:v>缺失行</x:v>
      </x:c>
      <x:c r="B19" t="n">
        <x:v>0</x:v>
      </x:c>
      <x:c r="C19" t="n">
        <x:v>0</x:v>
      </x:c>
      <x:c r="D19" t="str">
        <x:v>通过</x:v>
      </x:c>
    </x:row>
    <x:row r="20" ht="30" customHeight="1">
      <x:c r="A20" t="str">
        <x:v>点预测差异</x:v>
      </x:c>
      <x:c r="B20" t="n">
        <x:v>0</x:v>
      </x:c>
      <x:c r="C20" t="n">
        <x:v>0</x:v>
      </x:c>
      <x:c r="D20" t="str">
        <x:v>通过</x:v>
      </x:c>
    </x:row>
    <x:row r="21" ht="30" customHeight="1">
      <x:c r="A21" t="str">
        <x:v>区间差异</x:v>
      </x:c>
      <x:c r="B21" t="n">
        <x:v>0</x:v>
      </x:c>
      <x:c r="C21" t="n">
        <x:v>0</x:v>
      </x:c>
      <x:c r="D21" t="str">
        <x:v>通过</x:v>
      </x:c>
    </x:row>
    <x:row r="22" ht="30" customHeight="1">
      <x:c r="A22" t="str">
        <x:v>旧误差退化</x:v>
      </x:c>
      <x:c r="B22" t="n">
        <x:v>0</x:v>
      </x:c>
      <x:c r="C22" t="str">
        <x:v>收入≤0.5pp；利润≤1pp</x:v>
      </x:c>
      <x:c r="D22" t="str">
        <x:v>通过</x:v>
      </x:c>
    </x:row>
    <x:row r="24" ht="21" customHeight="1">
      <x:c r="A24" s="18" t="str">
        <x:v>四、扩展后合并留出</x:v>
      </x:c>
      <x:c r="B24" s="18" t="str">
        <x:v>四、扩展后合并留出</x:v>
      </x:c>
      <x:c r="C24" s="18" t="str">
        <x:v>四、扩展后合并留出</x:v>
      </x:c>
      <x:c r="D24" s="18" t="str">
        <x:v>四、扩展后合并留出</x:v>
      </x:c>
      <x:c r="E24" s="18" t="str">
        <x:v>四、扩展后合并留出</x:v>
      </x:c>
      <x:c r="F24" s="18" t="str">
        <x:v>四、扩展后合并留出</x:v>
      </x:c>
      <x:c r="G24" s="18" t="str">
        <x:v>四、扩展后合并留出</x:v>
      </x:c>
      <x:c r="H24" s="18" t="str">
        <x:v>四、扩展后合并留出</x:v>
      </x:c>
      <x:c r="I24" s="18" t="str">
        <x:v>四、扩展后合并留出</x:v>
      </x:c>
      <x:c r="J24" s="18" t="str">
        <x:v>四、扩展后合并留出</x:v>
      </x:c>
      <x:c r="K24" s="18" t="str">
        <x:v>四、扩展后合并留出</x:v>
      </x:c>
      <x:c r="L24" s="18" t="str">
        <x:v>四、扩展后合并留出</x:v>
      </x:c>
    </x:row>
    <x:row r="25" ht="28" customHeight="1">
      <x:c r="A25" s="26" t="str">
        <x:v>收入MAPE</x:v>
      </x:c>
      <x:c r="B25" s="26" t="str">
        <x:v>利润率误差pp</x:v>
      </x:c>
      <x:c r="C25" s="26" t="str">
        <x:v>收入方向</x:v>
      </x:c>
      <x:c r="D25" s="26" t="str">
        <x:v>利润符号</x:v>
      </x:c>
      <x:c r="E25" s="26" t="str">
        <x:v>收入覆盖</x:v>
      </x:c>
      <x:c r="F25" s="26" t="str">
        <x:v>利润覆盖</x:v>
      </x:c>
      <x:c r="G25" s="26" t="str">
        <x:v>收入区间分数</x:v>
      </x:c>
      <x:c r="H25" s="26" t="str">
        <x:v>利润区间分数</x:v>
      </x:c>
    </x:row>
    <x:row r="26">
      <x:c r="A26" s="32" t="n">
        <x:v>0.05825156817667187</x:v>
      </x:c>
      <x:c r="B26" s="34" t="n">
        <x:v>2.964608112364558</x:v>
      </x:c>
      <x:c r="C26" s="32" t="n">
        <x:v>0.9761904761904762</x:v>
      </x:c>
      <x:c r="D26" s="32" t="n">
        <x:v>1</x:v>
      </x:c>
      <x:c r="E26" s="32" t="n">
        <x:v>1</x:v>
      </x:c>
      <x:c r="F26" s="32" t="n">
        <x:v>1</x:v>
      </x:c>
      <x:c r="G26" s="36" t="n">
        <x:v>0.4644376584820678</x:v>
      </x:c>
      <x:c r="H26" s="36" t="n">
        <x:v>0.2713904793120017</x:v>
      </x:c>
    </x:row>
    <x:row r="28" ht="21" customHeight="1">
      <x:c r="A28" s="18" t="str">
        <x:v>五、方法修正</x:v>
      </x:c>
      <x:c r="B28" s="18" t="str">
        <x:v>五、方法修正</x:v>
      </x:c>
      <x:c r="C28" s="18" t="str">
        <x:v>五、方法修正</x:v>
      </x:c>
      <x:c r="D28" s="18" t="str">
        <x:v>五、方法修正</x:v>
      </x:c>
      <x:c r="E28" s="18" t="str">
        <x:v>五、方法修正</x:v>
      </x:c>
      <x:c r="F28" s="18" t="str">
        <x:v>五、方法修正</x:v>
      </x:c>
      <x:c r="G28" s="18" t="str">
        <x:v>五、方法修正</x:v>
      </x:c>
      <x:c r="H28" s="18" t="str">
        <x:v>五、方法修正</x:v>
      </x:c>
      <x:c r="I28" s="18" t="str">
        <x:v>五、方法修正</x:v>
      </x:c>
      <x:c r="J28" s="18" t="str">
        <x:v>五、方法修正</x:v>
      </x:c>
      <x:c r="K28" s="18" t="str">
        <x:v>五、方法修正</x:v>
      </x:c>
      <x:c r="L28" s="18" t="str">
        <x:v>五、方法修正</x:v>
      </x:c>
    </x:row>
    <x:row r="29" ht="28" customHeight="1">
      <x:c r="A29" s="26" t="str">
        <x:v>新增模块</x:v>
      </x:c>
      <x:c r="B29" s="26" t="str">
        <x:v>原问题</x:v>
      </x:c>
      <x:c r="C29" s="26" t="str">
        <x:v>新增公式/桥</x:v>
      </x:c>
      <x:c r="D29" s="26" t="str">
        <x:v>典型案例</x:v>
      </x:c>
      <x:c r="E29" s="26" t="str">
        <x:v>适用范围</x:v>
      </x:c>
    </x:row>
    <x:row r="30" ht="52" customHeight="1">
      <x:c r="A30" s="54" t="str">
        <x:v>企业边界桥</x:v>
      </x:c>
      <x:c r="B30" s="54" t="str">
        <x:v>并购/剥离造成增长跳变</x:v>
      </x:c>
      <x:c r="C30" s="54" t="str">
        <x:v>organic＋acquired－disposed＋FX＋recast</x:v>
      </x:c>
      <x:c r="D30" s="54" t="str">
        <x:v>Broadcom、AMD、Coherent、Entegris</x:v>
      </x:c>
      <x:c r="E30" s="54" t="str">
        <x:v>并购型公司</x:v>
      </x:c>
    </x:row>
    <x:row r="31" ht="52" customHeight="1">
      <x:c r="A31" s="54" t="str">
        <x:v>收入确认桥</x:v>
      </x:c>
      <x:c r="B31" s="54" t="str">
        <x:v>订单/backlog被当收入</x:v>
      </x:c>
      <x:c r="C31" s="54" t="str">
        <x:v>order→backlog→shipment→installation→acceptance→revenue</x:v>
      </x:c>
      <x:c r="D31" s="54" t="str">
        <x:v>Vertiv、设备公司</x:v>
      </x:c>
      <x:c r="E31" s="54" t="str">
        <x:v>项目/设备</x:v>
      </x:c>
    </x:row>
    <x:row r="32" ht="52" customHeight="1">
      <x:c r="A32" s="54" t="str">
        <x:v>BOM传导与现金桥</x:v>
      </x:c>
      <x:c r="B32" s="54" t="str">
        <x:v>收入增速高但利润和现金跟不上</x:v>
      </x:c>
      <x:c r="C32" s="54" t="str">
        <x:v>units×BOM；拆pass-through、GP$、库存、应收、预付款</x:v>
      </x:c>
      <x:c r="D32" s="54" t="str">
        <x:v>Supermicro</x:v>
      </x:c>
      <x:c r="E32" s="54" t="str">
        <x:v>服务器/整机</x:v>
      </x:c>
    </x:row>
    <x:row r="33" ht="52" customHeight="1">
      <x:c r="A33" s="54" t="str">
        <x:v>内容量—成本桥</x:v>
      </x:c>
      <x:c r="B33" s="54" t="str">
        <x:v>先进化直接被当作毛利提升</x:v>
      </x:c>
      <x:c r="C33" s="54" t="str">
        <x:v>content×units→revenue；材料/折旧/利用率→profit</x:v>
      </x:c>
      <x:c r="D33" s="54" t="str">
        <x:v>KLA、Amkor、Entegris</x:v>
      </x:c>
      <x:c r="E33" s="54" t="str">
        <x:v>材料/封装/检测</x:v>
      </x:c>
    </x:row>
    <x:row r="34" ht="52" customHeight="1">
      <x:c r="A34" s="54" t="str">
        <x:v>客户集中与平台迁移</x:v>
      </x:c>
      <x:c r="B34" s="54" t="str">
        <x:v>TAM直接外推公司收入</x:v>
      </x:c>
      <x:c r="C34" s="54" t="str">
        <x:v>deployment×content×share，加入集中度/供给/RPO</x:v>
      </x:c>
      <x:c r="D34" s="54" t="str">
        <x:v>Arista</x:v>
      </x:c>
      <x:c r="E34" s="54" t="str">
        <x:v>网络/平台</x:v>
      </x:c>
    </x:row>
    <x:row r="35" ht="52" customHeight="1">
      <x:c r="A35" s="54" t="str">
        <x:v>整合与会计桥</x:v>
      </x:c>
      <x:c r="B35" s="54" t="str">
        <x:v>技术趋势直接外推净利润</x:v>
      </x:c>
      <x:c r="C35" s="54" t="str">
        <x:v>收入合并＋利息＋摊销＋重组＋良率</x:v>
      </x:c>
      <x:c r="D35" s="54" t="str">
        <x:v>Coherent、AMD</x:v>
      </x:c>
      <x:c r="E35" s="54" t="str">
        <x:v>M&amp;A/光学/平台</x:v>
      </x:c>
    </x:row>
    <x:row r="37">
      <x:c r="A37" s="59" t="str">
        <x:v>状态：回顾性结构门槛通过，旧场景零回归。停止继续根据历史实际微调点预测，以避免过拟合。当前只能表述为 retrospective research-grade / forward screen-grade；未来需4–8个季度不回改滚动验证。</x:v>
      </x:c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</x:row>
  </x:sheetData>
  <x:mergeCells>
    <x:mergeCell ref="A1:L1"/>
    <x:mergeCell ref="A2:L2"/>
    <x:mergeCell ref="A4:L4"/>
    <x:mergeCell ref="A11:L11"/>
    <x:mergeCell ref="A16:L16"/>
    <x:mergeCell ref="A24:L24"/>
    <x:mergeCell ref="A28:L28"/>
    <x:mergeCell ref="A37:L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3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2" hidden="0" customWidth="1"/>
    <x:col min="12" max="12" width="52" hidden="0" customWidth="1"/>
  </x:cols>
  <x:sheetData>
    <x:row r="1" ht="28" customHeight="1">
      <x:c r="A1" s="4" t="str">
        <x:v>新增AI硬件价值链样本</x:v>
      </x:c>
      <x:c r="B1" s="4" t="str">
        <x:v>新增AI硬件价值链样本</x:v>
      </x:c>
      <x:c r="C1" s="4" t="str">
        <x:v>新增AI硬件价值链样本</x:v>
      </x:c>
      <x:c r="D1" s="4" t="str">
        <x:v>新增AI硬件价值链样本</x:v>
      </x:c>
      <x:c r="E1" s="4" t="str">
        <x:v>新增AI硬件价值链样本</x:v>
      </x:c>
      <x:c r="F1" s="4" t="str">
        <x:v>新增AI硬件价值链样本</x:v>
      </x:c>
      <x:c r="G1" s="4" t="str">
        <x:v>新增AI硬件价值链样本</x:v>
      </x:c>
      <x:c r="H1" s="4" t="str">
        <x:v>新增AI硬件价值链样本</x:v>
      </x:c>
      <x:c r="I1" s="4" t="str">
        <x:v>新增AI硬件价值链样本</x:v>
      </x:c>
      <x:c r="J1" s="4" t="str">
        <x:v>新增AI硬件价值链样本</x:v>
      </x:c>
      <x:c r="K1" s="4" t="str">
        <x:v>新增AI硬件价值链样本</x:v>
      </x:c>
      <x:c r="L1" s="4" t="str">
        <x:v>新增AI硬件价值链样本</x:v>
      </x:c>
    </x:row>
    <x:row r="2" ht="35" customHeight="1">
      <x:c r="A2" s="11" t="str">
        <x:v>校准样本用于发现结构错误；伪留出不回写点值。所有历史结果仍属于回顾性点时点模拟。</x:v>
      </x:c>
      <x:c r="B2" s="11" t="str">
        <x:v>校准样本用于发现结构错误；伪留出不回写点值。所有历史结果仍属于回顾性点时点模拟。</x:v>
      </x:c>
      <x:c r="C2" s="11" t="str">
        <x:v>校准样本用于发现结构错误；伪留出不回写点值。所有历史结果仍属于回顾性点时点模拟。</x:v>
      </x:c>
      <x:c r="D2" s="11" t="str">
        <x:v>校准样本用于发现结构错误；伪留出不回写点值。所有历史结果仍属于回顾性点时点模拟。</x:v>
      </x:c>
      <x:c r="E2" s="11" t="str">
        <x:v>校准样本用于发现结构错误；伪留出不回写点值。所有历史结果仍属于回顾性点时点模拟。</x:v>
      </x:c>
      <x:c r="F2" s="11" t="str">
        <x:v>校准样本用于发现结构错误；伪留出不回写点值。所有历史结果仍属于回顾性点时点模拟。</x:v>
      </x:c>
      <x:c r="G2" s="11" t="str">
        <x:v>校准样本用于发现结构错误；伪留出不回写点值。所有历史结果仍属于回顾性点时点模拟。</x:v>
      </x:c>
      <x:c r="H2" s="11" t="str">
        <x:v>校准样本用于发现结构错误；伪留出不回写点值。所有历史结果仍属于回顾性点时点模拟。</x:v>
      </x:c>
      <x:c r="I2" s="11" t="str">
        <x:v>校准样本用于发现结构错误；伪留出不回写点值。所有历史结果仍属于回顾性点时点模拟。</x:v>
      </x:c>
      <x:c r="J2" s="11" t="str">
        <x:v>校准样本用于发现结构错误；伪留出不回写点值。所有历史结果仍属于回顾性点时点模拟。</x:v>
      </x:c>
      <x:c r="K2" s="11" t="str">
        <x:v>校准样本用于发现结构错误；伪留出不回写点值。所有历史结果仍属于回顾性点时点模拟。</x:v>
      </x:c>
      <x:c r="L2" s="11" t="str">
        <x:v>校准样本用于发现结构错误；伪留出不回写点值。所有历史结果仍属于回顾性点时点模拟。</x:v>
      </x:c>
    </x:row>
    <x:row r="4" ht="28" customHeight="1">
      <x:c r="A4" s="26" t="str">
        <x:v>数据组</x:v>
      </x:c>
      <x:c r="B4" s="26" t="str">
        <x:v>案例</x:v>
      </x:c>
      <x:c r="C4" s="26" t="str">
        <x:v>公司</x:v>
      </x:c>
      <x:c r="D4" s="26" t="str">
        <x:v>原型</x:v>
      </x:c>
      <x:c r="E4" s="26" t="str">
        <x:v>截面</x:v>
      </x:c>
      <x:c r="F4" s="26" t="str">
        <x:v>目标1</x:v>
      </x:c>
      <x:c r="G4" s="26" t="str">
        <x:v>目标2</x:v>
      </x:c>
      <x:c r="H4" s="26" t="str">
        <x:v>目标3</x:v>
      </x:c>
      <x:c r="I4" s="26" t="str">
        <x:v>基期收入</x:v>
      </x:c>
      <x:c r="J4" s="26" t="str">
        <x:v>基期利润</x:v>
      </x:c>
      <x:c r="K4" s="26" t="str">
        <x:v>单位</x:v>
      </x:c>
      <x:c r="L4" s="26" t="str">
        <x:v>关键修正</x:v>
      </x:c>
    </x:row>
    <x:row r="5" ht="55" customHeight="1">
      <x:c r="A5" s="54" t="str">
        <x:v>校准</x:v>
      </x:c>
      <x:c r="B5" s="54" t="str">
        <x:v>AMAT@FY2019</x:v>
      </x:c>
      <x:c r="C5" s="54" t="str">
        <x:v>Applied Materials</x:v>
      </x:c>
      <x:c r="D5" s="54" t="str">
        <x:v>diversified-wafer-fab-equipment</x:v>
      </x:c>
      <x:c r="E5" s="54" t="str">
        <x:v>FY2019</x:v>
      </x:c>
      <x:c r="F5" s="54" t="str">
        <x:v>FY2020</x:v>
      </x:c>
      <x:c r="G5" s="54" t="str">
        <x:v>FY2021</x:v>
      </x:c>
      <x:c r="H5" s="54" t="str">
        <x:v>FY2022</x:v>
      </x:c>
      <x:c r="I5" s="66" t="n">
        <x:v>14.608</x:v>
      </x:c>
      <x:c r="J5" s="66" t="n">
        <x:v>3.35</x:v>
      </x:c>
      <x:c r="K5" s="54" t="str">
        <x:v>USD bn</x:v>
      </x:c>
      <x:c r="L5" s="54" t="str">
        <x:v>拆systems与services，并按foundry/logic、memory WFE和供给约束建模。</x:v>
      </x:c>
    </x:row>
    <x:row r="6" ht="55" customHeight="1">
      <x:c r="A6" s="54" t="str">
        <x:v>校准</x:v>
      </x:c>
      <x:c r="B6" s="54" t="str">
        <x:v>KLA@FY2019</x:v>
      </x:c>
      <x:c r="C6" s="54" t="str">
        <x:v>KLA</x:v>
      </x:c>
      <x:c r="D6" s="54" t="str">
        <x:v>process-control-content-intensity</x:v>
      </x:c>
      <x:c r="E6" s="54" t="str">
        <x:v>FY2019</x:v>
      </x:c>
      <x:c r="F6" s="54" t="str">
        <x:v>FY2020</x:v>
      </x:c>
      <x:c r="G6" s="54" t="str">
        <x:v>FY2021</x:v>
      </x:c>
      <x:c r="H6" s="54" t="str">
        <x:v>FY2022</x:v>
      </x:c>
      <x:c r="I6" s="66" t="n">
        <x:v>4.568904</x:v>
      </x:c>
      <x:c r="J6" s="66" t="n">
        <x:v>1.175617</x:v>
      </x:c>
      <x:c r="K6" s="54" t="str">
        <x:v>USD bn</x:v>
      </x:c>
      <x:c r="L6" s="54" t="str">
        <x:v>过程控制价值量随节点复杂度和检测步骤增长；并购与服务装机基数需单独桥接。</x:v>
      </x:c>
    </x:row>
    <x:row r="7" ht="55" customHeight="1">
      <x:c r="A7" s="54" t="str">
        <x:v>校准</x:v>
      </x:c>
      <x:c r="B7" s="54" t="str">
        <x:v>AVGO@FY2019</x:v>
      </x:c>
      <x:c r="C7" s="54" t="str">
        <x:v>Broadcom</x:v>
      </x:c>
      <x:c r="D7" s="54" t="str">
        <x:v>hybrid-semiconductor-software-ma</x:v>
      </x:c>
      <x:c r="E7" s="54" t="str">
        <x:v>FY2019</x:v>
      </x:c>
      <x:c r="F7" s="54" t="str">
        <x:v>FY2020</x:v>
      </x:c>
      <x:c r="G7" s="54" t="str">
        <x:v>FY2021</x:v>
      </x:c>
      <x:c r="H7" s="54" t="str">
        <x:v>FY2022</x:v>
      </x:c>
      <x:c r="I7" s="66" t="n">
        <x:v>22.597</x:v>
      </x:c>
      <x:c r="J7" s="66" t="n">
        <x:v>2.695</x:v>
      </x:c>
      <x:c r="K7" s="54" t="str">
        <x:v>USD bn</x:v>
      </x:c>
      <x:c r="L7" s="54" t="str">
        <x:v>先做organic/acquired/perimeter bridge，再拆半导体产品与订阅服务，并显式处理摊销和降杠杆。</x:v>
      </x:c>
    </x:row>
    <x:row r="8" ht="55" customHeight="1">
      <x:c r="A8" s="54" t="str">
        <x:v>校准</x:v>
      </x:c>
      <x:c r="B8" s="54" t="str">
        <x:v>VRT@FY2020</x:v>
      </x:c>
      <x:c r="C8" s="54" t="str">
        <x:v>Vertiv</x:v>
      </x:c>
      <x:c r="D8" s="54" t="str">
        <x:v>power-cooling-project-backlog</x:v>
      </x:c>
      <x:c r="E8" s="54" t="str">
        <x:v>FY2020</x:v>
      </x:c>
      <x:c r="F8" s="54" t="str">
        <x:v>FY2021</x:v>
      </x:c>
      <x:c r="G8" s="54" t="str">
        <x:v>FY2022</x:v>
      </x:c>
      <x:c r="H8" s="54" t="str">
        <x:v>FY2023</x:v>
      </x:c>
      <x:c r="I8" s="66" t="n">
        <x:v>4.3706</x:v>
      </x:c>
      <x:c r="J8" s="66" t="n">
        <x:v>1.4737</x:v>
      </x:c>
      <x:c r="K8" s="54" t="str">
        <x:v>USD bn</x:v>
      </x:c>
      <x:c r="L8" s="54" t="str">
        <x:v>backlog必须经过取消率、项目交付、价格成本时滞和服务收入转化，不能直接等于未来收入。</x:v>
      </x:c>
    </x:row>
    <x:row r="9" ht="55" customHeight="1">
      <x:c r="A9" s="54" t="str">
        <x:v>校准</x:v>
      </x:c>
      <x:c r="B9" s="54" t="str">
        <x:v>COHR@FY2021</x:v>
      </x:c>
      <x:c r="C9" s="54" t="str">
        <x:v>II-VI / Coherent</x:v>
      </x:c>
      <x:c r="D9" s="54" t="str">
        <x:v>optics-materials-ma-integration</x:v>
      </x:c>
      <x:c r="E9" s="54" t="str">
        <x:v>FY2021</x:v>
      </x:c>
      <x:c r="F9" s="54" t="str">
        <x:v>FY2022</x:v>
      </x:c>
      <x:c r="G9" s="54" t="str">
        <x:v>FY2023</x:v>
      </x:c>
      <x:c r="H9" s="54" t="str">
        <x:v>FY2024</x:v>
      </x:c>
      <x:c r="I9" s="66" t="n">
        <x:v>3.106</x:v>
      </x:c>
      <x:c r="J9" s="66" t="n">
        <x:v>0.298</x:v>
      </x:c>
      <x:c r="K9" s="54" t="str">
        <x:v>USD bn</x:v>
      </x:c>
      <x:c r="L9" s="54" t="str">
        <x:v>并购概率、合并时点、债务利息、摊销、重组、良率和客户设计变更必须单列。</x:v>
      </x:c>
    </x:row>
    <x:row r="10" ht="55" customHeight="1">
      <x:c r="A10" s="54" t="str">
        <x:v>伪留出</x:v>
      </x:c>
      <x:c r="B10" s="54" t="str">
        <x:v>ANET@FY2020</x:v>
      </x:c>
      <x:c r="C10" s="54" t="str">
        <x:v>Arista Networks</x:v>
      </x:c>
      <x:c r="D10" s="54" t="str">
        <x:v>networking-customer-concentration</x:v>
      </x:c>
      <x:c r="E10" s="54" t="str">
        <x:v>FY2020</x:v>
      </x:c>
      <x:c r="F10" s="54" t="str">
        <x:v>FY2021</x:v>
      </x:c>
      <x:c r="G10" s="54" t="str">
        <x:v>FY2022</x:v>
      </x:c>
      <x:c r="H10" s="54" t="str">
        <x:v>FY2023</x:v>
      </x:c>
      <x:c r="I10" s="66" t="n">
        <x:v>2.317512</x:v>
      </x:c>
      <x:c r="J10" s="66" t="n">
        <x:v>0.634557</x:v>
      </x:c>
      <x:c r="K10" s="54" t="str">
        <x:v>USD bn</x:v>
      </x:c>
      <x:c r="L10" s="54" t="str">
        <x:v>客户CapEx、云巨头集中度、供应约束、RPO/backlog和产品端口速率升级共同决定收入。</x:v>
      </x:c>
    </x:row>
    <x:row r="11" ht="55" customHeight="1">
      <x:c r="A11" s="54" t="str">
        <x:v>伪留出</x:v>
      </x:c>
      <x:c r="B11" s="54" t="str">
        <x:v>SMCI@FY2020</x:v>
      </x:c>
      <x:c r="C11" s="54" t="str">
        <x:v>Super Micro Computer</x:v>
      </x:c>
      <x:c r="D11" s="54" t="str">
        <x:v>server-rack-bom-pass-through</x:v>
      </x:c>
      <x:c r="E11" s="54" t="str">
        <x:v>FY2020</x:v>
      </x:c>
      <x:c r="F11" s="54" t="str">
        <x:v>FY2021</x:v>
      </x:c>
      <x:c r="G11" s="54" t="str">
        <x:v>FY2022</x:v>
      </x:c>
      <x:c r="H11" s="54" t="str">
        <x:v>FY2023</x:v>
      </x:c>
      <x:c r="I11" s="66" t="n">
        <x:v>3.339281</x:v>
      </x:c>
      <x:c r="J11" s="66" t="n">
        <x:v>0.0843</x:v>
      </x:c>
      <x:c r="K11" s="54" t="str">
        <x:v>USD bn</x:v>
      </x:c>
      <x:c r="L11" s="54" t="str">
        <x:v>收入=系统台数×BOM/ASP，但GPU等高价值部件的pass-through会推高收入、压低毛利，并占用营运资金。</x:v>
      </x:c>
    </x:row>
    <x:row r="12" ht="55" customHeight="1">
      <x:c r="A12" s="54" t="str">
        <x:v>伪留出</x:v>
      </x:c>
      <x:c r="B12" s="54" t="str">
        <x:v>AMKR@FY2020</x:v>
      </x:c>
      <x:c r="C12" s="54" t="str">
        <x:v>Amkor Technology</x:v>
      </x:c>
      <x:c r="D12" s="54" t="str">
        <x:v>osat-advanced-packaging-utilization</x:v>
      </x:c>
      <x:c r="E12" s="54" t="str">
        <x:v>FY2020</x:v>
      </x:c>
      <x:c r="F12" s="54" t="str">
        <x:v>FY2021</x:v>
      </x:c>
      <x:c r="G12" s="54" t="str">
        <x:v>FY2022</x:v>
      </x:c>
      <x:c r="H12" s="54" t="str">
        <x:v>FY2023</x:v>
      </x:c>
      <x:c r="I12" s="66" t="n">
        <x:v>5.050589</x:v>
      </x:c>
      <x:c r="J12" s="66" t="n">
        <x:v>0.457245</x:v>
      </x:c>
      <x:c r="K12" s="54" t="str">
        <x:v>USD bn</x:v>
      </x:c>
      <x:c r="L12" s="54" t="str">
        <x:v>先进封装内容量增长不必然提高毛利；材料占比、利用率、折旧、客户集中和无实质backlog必须纳入。</x:v>
      </x:c>
    </x:row>
    <x:row r="13" ht="55" customHeight="1">
      <x:c r="A13" s="54" t="str">
        <x:v>伪留出</x:v>
      </x:c>
      <x:c r="B13" s="54" t="str">
        <x:v>ENTG@FY2021</x:v>
      </x:c>
      <x:c r="C13" s="54" t="str">
        <x:v>Entegris</x:v>
      </x:c>
      <x:c r="D13" s="54" t="str">
        <x:v>semiconductor-materials-content-ma</x:v>
      </x:c>
      <x:c r="E13" s="54" t="str">
        <x:v>FY2021</x:v>
      </x:c>
      <x:c r="F13" s="54" t="str">
        <x:v>FY2022</x:v>
      </x:c>
      <x:c r="G13" s="54" t="str">
        <x:v>FY2023</x:v>
      </x:c>
      <x:c r="H13" s="54" t="str">
        <x:v>FY2024</x:v>
      </x:c>
      <x:c r="I13" s="66" t="n">
        <x:v>2.298893</x:v>
      </x:c>
      <x:c r="J13" s="66" t="n">
        <x:v>0.551768</x:v>
      </x:c>
      <x:c r="K13" s="54" t="str">
        <x:v>USD bn</x:v>
      </x:c>
      <x:c r="L13" s="54" t="str">
        <x:v>材料需求=wafer starts×process steps×content per wafer；并购、剥离和摊销必须与organic增长分开。</x:v>
      </x:c>
    </x:row>
    <x:row r="14" ht="55" customHeight="1">
      <x:c r="A14" s="54" t="str">
        <x:v>伪留出</x:v>
      </x:c>
      <x:c r="B14" s="54" t="str">
        <x:v>AMD@FY2020</x:v>
      </x:c>
      <x:c r="C14" s="54" t="str">
        <x:v>AMD</x:v>
      </x:c>
      <x:c r="D14" s="54" t="str">
        <x:v>compute-platform-segments-ma</x:v>
      </x:c>
      <x:c r="E14" s="54" t="str">
        <x:v>FY2020</x:v>
      </x:c>
      <x:c r="F14" s="54" t="str">
        <x:v>FY2021</x:v>
      </x:c>
      <x:c r="G14" s="54" t="str">
        <x:v>FY2022</x:v>
      </x:c>
      <x:c r="H14" s="54" t="str">
        <x:v>FY2023</x:v>
      </x:c>
      <x:c r="I14" s="66" t="n">
        <x:v>9.763</x:v>
      </x:c>
      <x:c r="J14" s="66" t="n">
        <x:v>1.369</x:v>
      </x:c>
      <x:c r="K14" s="54" t="str">
        <x:v>USD bn</x:v>
      </x:c>
      <x:c r="L14" s="54" t="str">
        <x:v>按Data Center/Client/Gaming/Embedded拆分，并建立Xilinx并购时点、摊销和All Other会计桥。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34" hidden="0" customWidth="1"/>
    <x:col min="5" max="5" width="13" hidden="0" customWidth="1"/>
    <x:col min="6" max="6" width="13" hidden="0" customWidth="1"/>
    <x:col min="7" max="7" width="9" hidden="0" customWidth="1"/>
    <x:col min="8" max="8" width="18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6" hidden="0" customWidth="1"/>
    <x:col min="19" max="19" width="16" hidden="0" customWidth="1"/>
    <x:col min="20" max="20" width="43" hidden="0" customWidth="1"/>
    <x:col min="21" max="21" width="48" hidden="0" customWidth="1"/>
    <x:col min="22" max="22" width="12" hidden="0" customWidth="1"/>
    <x:col min="23" max="23" width="13" hidden="0" customWidth="1"/>
    <x:col min="24" max="24" width="13" hidden="0" customWidth="1"/>
  </x:cols>
  <x:sheetData>
    <x:row r="1" ht="28" customHeight="1">
      <x:c r="A1" s="4" t="str">
        <x:v>新增样本预测明细</x:v>
      </x:c>
      <x:c r="B1" s="4" t="str">
        <x:v>新增样本预测明细</x:v>
      </x:c>
      <x:c r="C1" s="4" t="str">
        <x:v>新增样本预测明细</x:v>
      </x:c>
      <x:c r="D1" s="4" t="str">
        <x:v>新增样本预测明细</x:v>
      </x:c>
      <x:c r="E1" s="4" t="str">
        <x:v>新增样本预测明细</x:v>
      </x:c>
      <x:c r="F1" s="4" t="str">
        <x:v>新增样本预测明细</x:v>
      </x:c>
      <x:c r="G1" s="4" t="str">
        <x:v>新增样本预测明细</x:v>
      </x:c>
      <x:c r="H1" s="4" t="str">
        <x:v>新增样本预测明细</x:v>
      </x:c>
      <x:c r="I1" s="4" t="str">
        <x:v>新增样本预测明细</x:v>
      </x:c>
      <x:c r="J1" s="4" t="str">
        <x:v>新增样本预测明细</x:v>
      </x:c>
      <x:c r="K1" s="4" t="str">
        <x:v>新增样本预测明细</x:v>
      </x:c>
      <x:c r="L1" s="4" t="str">
        <x:v>新增样本预测明细</x:v>
      </x:c>
      <x:c r="M1" s="4" t="str">
        <x:v>新增样本预测明细</x:v>
      </x:c>
      <x:c r="N1" s="4" t="str">
        <x:v>新增样本预测明细</x:v>
      </x:c>
      <x:c r="O1" s="4" t="str">
        <x:v>新增样本预测明细</x:v>
      </x:c>
      <x:c r="P1" s="4" t="str">
        <x:v>新增样本预测明细</x:v>
      </x:c>
      <x:c r="Q1" s="4" t="str">
        <x:v>新增样本预测明细</x:v>
      </x:c>
      <x:c r="R1" s="4" t="str">
        <x:v>新增样本预测明细</x:v>
      </x:c>
      <x:c r="S1" s="4" t="str">
        <x:v>新增样本预测明细</x:v>
      </x:c>
      <x:c r="T1" s="4" t="str">
        <x:v>新增样本预测明细</x:v>
      </x:c>
      <x:c r="U1" s="4" t="str">
        <x:v>新增样本预测明细</x:v>
      </x:c>
      <x:c r="V1" s="4" t="str">
        <x:v>新增样本预测明细</x:v>
      </x:c>
      <x:c r="W1" s="4" t="str">
        <x:v>新增样本预测明细</x:v>
      </x:c>
      <x:c r="X1" s="4" t="str">
        <x:v>新增样本预测明细</x:v>
      </x:c>
    </x:row>
    <x:row r="2" ht="35" customHeight="1">
      <x:c r="A2" s="11" t="str">
        <x:v>实际值绿色；v5/v6预测为蓝字。收入误差和利润率误差由工作表公式计算。</x:v>
      </x:c>
      <x:c r="B2" s="11" t="str">
        <x:v>实际值绿色；v5/v6预测为蓝字。收入误差和利润率误差由工作表公式计算。</x:v>
      </x:c>
      <x:c r="C2" s="11" t="str">
        <x:v>实际值绿色；v5/v6预测为蓝字。收入误差和利润率误差由工作表公式计算。</x:v>
      </x:c>
      <x:c r="D2" s="11" t="str">
        <x:v>实际值绿色；v5/v6预测为蓝字。收入误差和利润率误差由工作表公式计算。</x:v>
      </x:c>
      <x:c r="E2" s="11" t="str">
        <x:v>实际值绿色；v5/v6预测为蓝字。收入误差和利润率误差由工作表公式计算。</x:v>
      </x:c>
      <x:c r="F2" s="11" t="str">
        <x:v>实际值绿色；v5/v6预测为蓝字。收入误差和利润率误差由工作表公式计算。</x:v>
      </x:c>
      <x:c r="G2" s="11" t="str">
        <x:v>实际值绿色；v5/v6预测为蓝字。收入误差和利润率误差由工作表公式计算。</x:v>
      </x:c>
      <x:c r="H2" s="11" t="str">
        <x:v>实际值绿色；v5/v6预测为蓝字。收入误差和利润率误差由工作表公式计算。</x:v>
      </x:c>
      <x:c r="I2" s="11" t="str">
        <x:v>实际值绿色；v5/v6预测为蓝字。收入误差和利润率误差由工作表公式计算。</x:v>
      </x:c>
      <x:c r="J2" s="11" t="str">
        <x:v>实际值绿色；v5/v6预测为蓝字。收入误差和利润率误差由工作表公式计算。</x:v>
      </x:c>
      <x:c r="K2" s="11" t="str">
        <x:v>实际值绿色；v5/v6预测为蓝字。收入误差和利润率误差由工作表公式计算。</x:v>
      </x:c>
      <x:c r="L2" s="11" t="str">
        <x:v>实际值绿色；v5/v6预测为蓝字。收入误差和利润率误差由工作表公式计算。</x:v>
      </x:c>
      <x:c r="M2" s="11" t="str">
        <x:v>实际值绿色；v5/v6预测为蓝字。收入误差和利润率误差由工作表公式计算。</x:v>
      </x:c>
      <x:c r="N2" s="11" t="str">
        <x:v>实际值绿色；v5/v6预测为蓝字。收入误差和利润率误差由工作表公式计算。</x:v>
      </x:c>
      <x:c r="O2" s="11" t="str">
        <x:v>实际值绿色；v5/v6预测为蓝字。收入误差和利润率误差由工作表公式计算。</x:v>
      </x:c>
      <x:c r="P2" s="11" t="str">
        <x:v>实际值绿色；v5/v6预测为蓝字。收入误差和利润率误差由工作表公式计算。</x:v>
      </x:c>
      <x:c r="Q2" s="11" t="str">
        <x:v>实际值绿色；v5/v6预测为蓝字。收入误差和利润率误差由工作表公式计算。</x:v>
      </x:c>
      <x:c r="R2" s="11" t="str">
        <x:v>实际值绿色；v5/v6预测为蓝字。收入误差和利润率误差由工作表公式计算。</x:v>
      </x:c>
      <x:c r="S2" s="11" t="str">
        <x:v>实际值绿色；v5/v6预测为蓝字。收入误差和利润率误差由工作表公式计算。</x:v>
      </x:c>
      <x:c r="T2" s="11" t="str">
        <x:v>实际值绿色；v5/v6预测为蓝字。收入误差和利润率误差由工作表公式计算。</x:v>
      </x:c>
      <x:c r="U2" s="11" t="str">
        <x:v>实际值绿色；v5/v6预测为蓝字。收入误差和利润率误差由工作表公式计算。</x:v>
      </x:c>
      <x:c r="V2" s="11" t="str">
        <x:v>实际值绿色；v5/v6预测为蓝字。收入误差和利润率误差由工作表公式计算。</x:v>
      </x:c>
      <x:c r="W2" s="11" t="str">
        <x:v>实际值绿色；v5/v6预测为蓝字。收入误差和利润率误差由工作表公式计算。</x:v>
      </x:c>
      <x:c r="X2" s="11" t="str">
        <x:v>实际值绿色；v5/v6预测为蓝字。收入误差和利润率误差由工作表公式计算。</x:v>
      </x:c>
    </x:row>
    <x:row r="4" ht="28" customHeight="1">
      <x:c r="A4" s="26" t="str">
        <x:v>数据组</x:v>
      </x:c>
      <x:c r="B4" s="26" t="str">
        <x:v>案例</x:v>
      </x:c>
      <x:c r="C4" s="26" t="str">
        <x:v>公司</x:v>
      </x:c>
      <x:c r="D4" s="26" t="str">
        <x:v>原型</x:v>
      </x:c>
      <x:c r="E4" s="26" t="str">
        <x:v>截面</x:v>
      </x:c>
      <x:c r="F4" s="26" t="str">
        <x:v>目标</x:v>
      </x:c>
      <x:c r="G4" s="26" t="str">
        <x:v>期限</x:v>
      </x:c>
      <x:c r="H4" s="26" t="str">
        <x:v>指标</x:v>
      </x:c>
      <x:c r="I4" s="26" t="str">
        <x:v>单位</x:v>
      </x:c>
      <x:c r="J4" s="26" t="str">
        <x:v>实际</x:v>
      </x:c>
      <x:c r="K4" s="26" t="str">
        <x:v>v5预测</x:v>
      </x:c>
      <x:c r="L4" s="26" t="str">
        <x:v>v6预测</x:v>
      </x:c>
      <x:c r="M4" s="26" t="str">
        <x:v>v5绝对误差</x:v>
      </x:c>
      <x:c r="N4" s="26" t="str">
        <x:v>v6绝对误差</x:v>
      </x:c>
      <x:c r="O4" s="26" t="str">
        <x:v>实际利润率</x:v>
      </x:c>
      <x:c r="P4" s="26" t="str">
        <x:v>v5利润率</x:v>
      </x:c>
      <x:c r="Q4" s="26" t="str">
        <x:v>v6利润率</x:v>
      </x:c>
      <x:c r="R4" s="26" t="str">
        <x:v>v5利润率误差pp</x:v>
      </x:c>
      <x:c r="S4" s="26" t="str">
        <x:v>v6利润率误差pp</x:v>
      </x:c>
      <x:c r="T4" s="26" t="str">
        <x:v>证据</x:v>
      </x:c>
      <x:c r="U4" s="26" t="str">
        <x:v>关键修正</x:v>
      </x:c>
      <x:c r="V4" s="26" t="str">
        <x:v>置信度</x:v>
      </x:c>
      <x:c r="W4" s="26" t="str">
        <x:v>v5收入APE</x:v>
      </x:c>
      <x:c r="X4" s="26" t="str">
        <x:v>v6收入APE</x:v>
      </x:c>
    </x:row>
    <x:row r="5" ht="25" customHeight="1">
      <x:c r="A5" t="str">
        <x:v>校准</x:v>
      </x:c>
      <x:c r="B5" t="str">
        <x:v>AMAT@FY2019</x:v>
      </x:c>
      <x:c r="C5" t="str">
        <x:v>Applied Materials</x:v>
      </x:c>
      <x:c r="D5" t="str">
        <x:v>diversified-wafer-fab-equipment</x:v>
      </x:c>
      <x:c r="E5" t="str">
        <x:v>FY2019</x:v>
      </x:c>
      <x:c r="F5" t="str">
        <x:v>FY2020</x:v>
      </x:c>
      <x:c r="G5" t="n">
        <x:v>1</x:v>
      </x:c>
      <x:c r="H5" t="str">
        <x:v>营业收入</x:v>
      </x:c>
      <x:c r="I5" t="str">
        <x:v>USD bn</x:v>
      </x:c>
      <x:c r="J5" s="69" t="n">
        <x:v>17.202</x:v>
      </x:c>
      <x:c r="K5" s="73" t="n">
        <x:v>15.5</x:v>
      </x:c>
      <x:c r="L5" s="73" t="n">
        <x:v>17</x:v>
      </x:c>
      <x:c r="M5" s="64" t="n">
        <x:f>ABS(K5-J5)</x:f>
        <x:v>1.7020000000000017</x:v>
      </x:c>
      <x:c r="N5" s="64" t="n">
        <x:f>ABS(L5-J5)</x:f>
        <x:v>0.20200000000000173</x:v>
      </x:c>
      <x:c r="O5" s="32"/>
      <x:c r="P5" s="32"/>
      <x:c r="Q5" s="32"/>
      <x:c r="R5" s="34"/>
      <x:c r="S5" s="34"/>
      <x:c r="T5" t="str">
        <x:v>AMAT_FY2019_10K;AMAT_FY2021_10K;AMAT_FY2024_10K</x:v>
      </x:c>
      <x:c r="U5" t="str">
        <x:v>拆systems与services，并按foundry/logic、memory WFE和供给约束建模。</x:v>
      </x:c>
      <x:c r="V5" t="str">
        <x:v>80%</x:v>
      </x:c>
      <x:c r="W5" s="32" t="n">
        <x:f>ABS(K5-J5)/ABS(J5)</x:f>
        <x:v>0.09894198349029192</x:v>
      </x:c>
      <x:c r="X5" s="32" t="n">
        <x:f>ABS(L5-J5)/ABS(J5)</x:f>
        <x:v>0.011742820602255651</x:v>
      </x:c>
    </x:row>
    <x:row r="6" ht="25" customHeight="1">
      <x:c r="A6" t="str">
        <x:v>校准</x:v>
      </x:c>
      <x:c r="B6" t="str">
        <x:v>AMAT@FY2019</x:v>
      </x:c>
      <x:c r="C6" t="str">
        <x:v>Applied Materials</x:v>
      </x:c>
      <x:c r="D6" t="str">
        <x:v>diversified-wafer-fab-equipment</x:v>
      </x:c>
      <x:c r="E6" t="str">
        <x:v>FY2019</x:v>
      </x:c>
      <x:c r="F6" t="str">
        <x:v>FY2020</x:v>
      </x:c>
      <x:c r="G6" t="n">
        <x:v>1</x:v>
      </x:c>
      <x:c r="H6" t="str">
        <x:v>operating_income</x:v>
      </x:c>
      <x:c r="I6" t="str">
        <x:v>USD bn</x:v>
      </x:c>
      <x:c r="J6" s="69" t="n">
        <x:v>4.365</x:v>
      </x:c>
      <x:c r="K6" s="73" t="n">
        <x:v>3.7</x:v>
      </x:c>
      <x:c r="L6" s="73" t="n">
        <x:v>4.25</x:v>
      </x:c>
      <x:c r="M6" s="64" t="n">
        <x:f>ABS(K6-J6)</x:f>
        <x:v>0.665</x:v>
      </x:c>
      <x:c r="N6" s="64" t="n">
        <x:f>ABS(L6-J6)</x:f>
        <x:v>0.11500000000000021</x:v>
      </x:c>
      <x:c r="O6" s="32" t="n">
        <x:f>J6/J5</x:f>
        <x:v>0.2537495640041855</x:v>
      </x:c>
      <x:c r="P6" s="32" t="n">
        <x:f>K6/K5</x:f>
        <x:v>0.23870967741935484</x:v>
      </x:c>
      <x:c r="Q6" s="32" t="n">
        <x:f>L6/L5</x:f>
        <x:v>0.25</x:v>
      </x:c>
      <x:c r="R6" s="34" t="n">
        <x:f>ABS(P6-O6)*100</x:f>
        <x:v>1.5039886584830686</x:v>
      </x:c>
      <x:c r="S6" s="34" t="n">
        <x:f>ABS(Q6-O6)*100</x:f>
        <x:v>0.3749564004185524</x:v>
      </x:c>
      <x:c r="T6" t="str">
        <x:v>AMAT_FY2019_10K;AMAT_FY2021_10K;AMAT_FY2024_10K</x:v>
      </x:c>
      <x:c r="U6" t="str">
        <x:v>拆systems与services，并按foundry/logic、memory WFE和供给约束建模。</x:v>
      </x:c>
      <x:c r="V6" t="str">
        <x:v>80%</x:v>
      </x:c>
      <x:c r="W6" s="32"/>
      <x:c r="X6" s="32"/>
    </x:row>
    <x:row r="7" ht="25" customHeight="1">
      <x:c r="A7" t="str">
        <x:v>校准</x:v>
      </x:c>
      <x:c r="B7" t="str">
        <x:v>AMAT@FY2019</x:v>
      </x:c>
      <x:c r="C7" t="str">
        <x:v>Applied Materials</x:v>
      </x:c>
      <x:c r="D7" t="str">
        <x:v>diversified-wafer-fab-equipment</x:v>
      </x:c>
      <x:c r="E7" t="str">
        <x:v>FY2019</x:v>
      </x:c>
      <x:c r="F7" t="str">
        <x:v>FY2021</x:v>
      </x:c>
      <x:c r="G7" t="n">
        <x:v>2</x:v>
      </x:c>
      <x:c r="H7" t="str">
        <x:v>营业收入</x:v>
      </x:c>
      <x:c r="I7" t="str">
        <x:v>USD bn</x:v>
      </x:c>
      <x:c r="J7" s="69" t="n">
        <x:v>23.063</x:v>
      </x:c>
      <x:c r="K7" s="73" t="n">
        <x:v>17.5</x:v>
      </x:c>
      <x:c r="L7" s="73" t="n">
        <x:v>21.5</x:v>
      </x:c>
      <x:c r="M7" s="64" t="n">
        <x:f>ABS(K7-J7)</x:f>
        <x:v>5.562999999999999</x:v>
      </x:c>
      <x:c r="N7" s="64" t="n">
        <x:f>ABS(L7-J7)</x:f>
        <x:v>1.5629999999999988</x:v>
      </x:c>
      <x:c r="O7" s="32"/>
      <x:c r="P7" s="32"/>
      <x:c r="Q7" s="32"/>
      <x:c r="R7" s="34"/>
      <x:c r="S7" s="34"/>
      <x:c r="T7" t="str">
        <x:v>AMAT_FY2019_10K;AMAT_FY2021_10K;AMAT_FY2024_10K</x:v>
      </x:c>
      <x:c r="U7" t="str">
        <x:v>拆systems与services，并按foundry/logic、memory WFE和供给约束建模。</x:v>
      </x:c>
      <x:c r="V7" t="str">
        <x:v>80%</x:v>
      </x:c>
      <x:c r="W7" s="32" t="n">
        <x:f>ABS(K7-J7)/ABS(J7)</x:f>
        <x:v>0.24120886268048386</x:v>
      </x:c>
      <x:c r="X7" s="32" t="n">
        <x:f>ABS(L7-J7)/ABS(J7)</x:f>
        <x:v>0.06777088843602302</x:v>
      </x:c>
    </x:row>
    <x:row r="8" ht="25" customHeight="1">
      <x:c r="A8" t="str">
        <x:v>校准</x:v>
      </x:c>
      <x:c r="B8" t="str">
        <x:v>AMAT@FY2019</x:v>
      </x:c>
      <x:c r="C8" t="str">
        <x:v>Applied Materials</x:v>
      </x:c>
      <x:c r="D8" t="str">
        <x:v>diversified-wafer-fab-equipment</x:v>
      </x:c>
      <x:c r="E8" t="str">
        <x:v>FY2019</x:v>
      </x:c>
      <x:c r="F8" t="str">
        <x:v>FY2021</x:v>
      </x:c>
      <x:c r="G8" t="n">
        <x:v>2</x:v>
      </x:c>
      <x:c r="H8" t="str">
        <x:v>operating_income</x:v>
      </x:c>
      <x:c r="I8" t="str">
        <x:v>USD bn</x:v>
      </x:c>
      <x:c r="J8" s="69" t="n">
        <x:v>6.889</x:v>
      </x:c>
      <x:c r="K8" s="73" t="n">
        <x:v>4.2</x:v>
      </x:c>
      <x:c r="L8" s="73" t="n">
        <x:v>6.2</x:v>
      </x:c>
      <x:c r="M8" s="64" t="n">
        <x:f>ABS(K8-J8)</x:f>
        <x:v>2.689</x:v>
      </x:c>
      <x:c r="N8" s="64" t="n">
        <x:f>ABS(L8-J8)</x:f>
        <x:v>0.6890000000000001</x:v>
      </x:c>
      <x:c r="O8" s="32" t="n">
        <x:f>J8/J7</x:f>
        <x:v>0.29870355114252267</x:v>
      </x:c>
      <x:c r="P8" s="32" t="n">
        <x:f>K8/K7</x:f>
        <x:v>0.24000000000000002</x:v>
      </x:c>
      <x:c r="Q8" s="32" t="n">
        <x:f>L8/L7</x:f>
        <x:v>0.28837209302325584</x:v>
      </x:c>
      <x:c r="R8" s="34" t="n">
        <x:f>ABS(P8-O8)*100</x:f>
        <x:v>5.870355114252265</x:v>
      </x:c>
      <x:c r="S8" s="34" t="n">
        <x:f>ABS(Q8-O8)*100</x:f>
        <x:v>1.0331458119266834</x:v>
      </x:c>
      <x:c r="T8" t="str">
        <x:v>AMAT_FY2019_10K;AMAT_FY2021_10K;AMAT_FY2024_10K</x:v>
      </x:c>
      <x:c r="U8" t="str">
        <x:v>拆systems与services，并按foundry/logic、memory WFE和供给约束建模。</x:v>
      </x:c>
      <x:c r="V8" t="str">
        <x:v>80%</x:v>
      </x:c>
      <x:c r="W8" s="32"/>
      <x:c r="X8" s="32"/>
    </x:row>
    <x:row r="9" ht="25" customHeight="1">
      <x:c r="A9" t="str">
        <x:v>校准</x:v>
      </x:c>
      <x:c r="B9" t="str">
        <x:v>AMAT@FY2019</x:v>
      </x:c>
      <x:c r="C9" t="str">
        <x:v>Applied Materials</x:v>
      </x:c>
      <x:c r="D9" t="str">
        <x:v>diversified-wafer-fab-equipment</x:v>
      </x:c>
      <x:c r="E9" t="str">
        <x:v>FY2019</x:v>
      </x:c>
      <x:c r="F9" t="str">
        <x:v>FY2022</x:v>
      </x:c>
      <x:c r="G9" t="n">
        <x:v>3</x:v>
      </x:c>
      <x:c r="H9" t="str">
        <x:v>营业收入</x:v>
      </x:c>
      <x:c r="I9" t="str">
        <x:v>USD bn</x:v>
      </x:c>
      <x:c r="J9" s="69" t="n">
        <x:v>25.785</x:v>
      </x:c>
      <x:c r="K9" s="73" t="n">
        <x:v>19.5</x:v>
      </x:c>
      <x:c r="L9" s="73" t="n">
        <x:v>24.5</x:v>
      </x:c>
      <x:c r="M9" s="64" t="n">
        <x:f>ABS(K9-J9)</x:f>
        <x:v>6.285</x:v>
      </x:c>
      <x:c r="N9" s="64" t="n">
        <x:f>ABS(L9-J9)</x:f>
        <x:v>1.2850000000000001</x:v>
      </x:c>
      <x:c r="O9" s="32"/>
      <x:c r="P9" s="32"/>
      <x:c r="Q9" s="32"/>
      <x:c r="R9" s="34"/>
      <x:c r="S9" s="34"/>
      <x:c r="T9" t="str">
        <x:v>AMAT_FY2019_10K;AMAT_FY2021_10K;AMAT_FY2024_10K</x:v>
      </x:c>
      <x:c r="U9" t="str">
        <x:v>拆systems与services，并按foundry/logic、memory WFE和供给约束建模。</x:v>
      </x:c>
      <x:c r="V9" t="str">
        <x:v>80%</x:v>
      </x:c>
      <x:c r="W9" s="32" t="n">
        <x:f>ABS(K9-J9)/ABS(J9)</x:f>
        <x:v>0.24374636416521234</x:v>
      </x:c>
      <x:c r="X9" s="32" t="n">
        <x:f>ABS(L9-J9)/ABS(J9)</x:f>
        <x:v>0.04983517548962576</x:v>
      </x:c>
    </x:row>
    <x:row r="10" ht="25" customHeight="1">
      <x:c r="A10" t="str">
        <x:v>校准</x:v>
      </x:c>
      <x:c r="B10" t="str">
        <x:v>AMAT@FY2019</x:v>
      </x:c>
      <x:c r="C10" t="str">
        <x:v>Applied Materials</x:v>
      </x:c>
      <x:c r="D10" t="str">
        <x:v>diversified-wafer-fab-equipment</x:v>
      </x:c>
      <x:c r="E10" t="str">
        <x:v>FY2019</x:v>
      </x:c>
      <x:c r="F10" t="str">
        <x:v>FY2022</x:v>
      </x:c>
      <x:c r="G10" t="n">
        <x:v>3</x:v>
      </x:c>
      <x:c r="H10" t="str">
        <x:v>operating_income</x:v>
      </x:c>
      <x:c r="I10" t="str">
        <x:v>USD bn</x:v>
      </x:c>
      <x:c r="J10" s="69" t="n">
        <x:v>7.788</x:v>
      </x:c>
      <x:c r="K10" s="73" t="n">
        <x:v>4.7</x:v>
      </x:c>
      <x:c r="L10" s="73" t="n">
        <x:v>7.1</x:v>
      </x:c>
      <x:c r="M10" s="64" t="n">
        <x:f>ABS(K10-J10)</x:f>
        <x:v>3.088</x:v>
      </x:c>
      <x:c r="N10" s="64" t="n">
        <x:f>ABS(L10-J10)</x:f>
        <x:v>0.6880000000000006</x:v>
      </x:c>
      <x:c r="O10" s="32" t="n">
        <x:f>J10/J9</x:f>
        <x:v>0.3020360674810937</x:v>
      </x:c>
      <x:c r="P10" s="32" t="n">
        <x:f>K10/K9</x:f>
        <x:v>0.24102564102564103</x:v>
      </x:c>
      <x:c r="Q10" s="32" t="n">
        <x:f>L10/L9</x:f>
        <x:v>0.2897959183673469</x:v>
      </x:c>
      <x:c r="R10" s="34" t="n">
        <x:f>ABS(P10-O10)*100</x:f>
        <x:v>6.101042645545266</x:v>
      </x:c>
      <x:c r="S10" s="34" t="n">
        <x:f>ABS(Q10-O10)*100</x:f>
        <x:v>1.2240149113746768</x:v>
      </x:c>
      <x:c r="T10" t="str">
        <x:v>AMAT_FY2019_10K;AMAT_FY2021_10K;AMAT_FY2024_10K</x:v>
      </x:c>
      <x:c r="U10" t="str">
        <x:v>拆systems与services，并按foundry/logic、memory WFE和供给约束建模。</x:v>
      </x:c>
      <x:c r="V10" t="str">
        <x:v>80%</x:v>
      </x:c>
      <x:c r="W10" s="32"/>
      <x:c r="X10" s="32"/>
    </x:row>
    <x:row r="11" ht="25" customHeight="1">
      <x:c r="A11" t="str">
        <x:v>校准</x:v>
      </x:c>
      <x:c r="B11" t="str">
        <x:v>KLA@FY2019</x:v>
      </x:c>
      <x:c r="C11" t="str">
        <x:v>KLA</x:v>
      </x:c>
      <x:c r="D11" t="str">
        <x:v>process-control-content-intensity</x:v>
      </x:c>
      <x:c r="E11" t="str">
        <x:v>FY2019</x:v>
      </x:c>
      <x:c r="F11" t="str">
        <x:v>FY2020</x:v>
      </x:c>
      <x:c r="G11" t="n">
        <x:v>1</x:v>
      </x:c>
      <x:c r="H11" t="str">
        <x:v>营业收入</x:v>
      </x:c>
      <x:c r="I11" t="str">
        <x:v>USD bn</x:v>
      </x:c>
      <x:c r="J11" s="69" t="n">
        <x:v>5.806424</x:v>
      </x:c>
      <x:c r="K11" s="73" t="n">
        <x:v>5.1</x:v>
      </x:c>
      <x:c r="L11" s="73" t="n">
        <x:v>5.7</x:v>
      </x:c>
      <x:c r="M11" s="64" t="n">
        <x:f>ABS(K11-J11)</x:f>
        <x:v>0.7064240000000002</x:v>
      </x:c>
      <x:c r="N11" s="64" t="n">
        <x:f>ABS(L11-J11)</x:f>
        <x:v>0.10642399999999963</x:v>
      </x:c>
      <x:c r="O11" s="32"/>
      <x:c r="P11" s="32"/>
      <x:c r="Q11" s="32"/>
      <x:c r="R11" s="34"/>
      <x:c r="S11" s="34"/>
      <x:c r="T11" t="str">
        <x:v>KLA_FY2019_10K;KLA_FY2021_10K;KLA_FY2024_10K</x:v>
      </x:c>
      <x:c r="U11" t="str">
        <x:v>过程控制价值量随节点复杂度和检测步骤增长；并购与服务装机基数需单独桥接。</x:v>
      </x:c>
      <x:c r="V11" t="str">
        <x:v>80%</x:v>
      </x:c>
      <x:c r="W11" s="32" t="n">
        <x:f>ABS(K11-J11)/ABS(J11)</x:f>
        <x:v>0.12166248968383986</x:v>
      </x:c>
      <x:c r="X11" s="32" t="n">
        <x:f>ABS(L11-J11)/ABS(J11)</x:f>
        <x:v>0.018328664940762098</x:v>
      </x:c>
    </x:row>
    <x:row r="12" ht="25" customHeight="1">
      <x:c r="A12" t="str">
        <x:v>校准</x:v>
      </x:c>
      <x:c r="B12" t="str">
        <x:v>KLA@FY2019</x:v>
      </x:c>
      <x:c r="C12" t="str">
        <x:v>KLA</x:v>
      </x:c>
      <x:c r="D12" t="str">
        <x:v>process-control-content-intensity</x:v>
      </x:c>
      <x:c r="E12" t="str">
        <x:v>FY2019</x:v>
      </x:c>
      <x:c r="F12" t="str">
        <x:v>FY2020</x:v>
      </x:c>
      <x:c r="G12" t="n">
        <x:v>1</x:v>
      </x:c>
      <x:c r="H12" t="str">
        <x:v>net_income</x:v>
      </x:c>
      <x:c r="I12" t="str">
        <x:v>USD bn</x:v>
      </x:c>
      <x:c r="J12" s="69" t="n">
        <x:v>1.216785</x:v>
      </x:c>
      <x:c r="K12" s="73" t="n">
        <x:v>1.25</x:v>
      </x:c>
      <x:c r="L12" s="73" t="n">
        <x:v>1.25</x:v>
      </x:c>
      <x:c r="M12" s="64" t="n">
        <x:f>ABS(K12-J12)</x:f>
        <x:v>0.033214999999999995</x:v>
      </x:c>
      <x:c r="N12" s="64" t="n">
        <x:f>ABS(L12-J12)</x:f>
        <x:v>0.033214999999999995</x:v>
      </x:c>
      <x:c r="O12" s="32" t="n">
        <x:f>J12/J11</x:f>
        <x:v>0.20955841323334293</x:v>
      </x:c>
      <x:c r="P12" s="32" t="n">
        <x:f>K12/K11</x:f>
        <x:v>0.2450980392156863</x:v>
      </x:c>
      <x:c r="Q12" s="32" t="n">
        <x:f>L12/L11</x:f>
        <x:v>0.21929824561403508</x:v>
      </x:c>
      <x:c r="R12" s="34" t="n">
        <x:f>ABS(P12-O12)*100</x:f>
        <x:v>3.5539625982343366</x:v>
      </x:c>
      <x:c r="S12" s="34" t="n">
        <x:f>ABS(Q12-O12)*100</x:f>
        <x:v>0.9739832380692148</x:v>
      </x:c>
      <x:c r="T12" t="str">
        <x:v>KLA_FY2019_10K;KLA_FY2021_10K;KLA_FY2024_10K</x:v>
      </x:c>
      <x:c r="U12" t="str">
        <x:v>过程控制价值量随节点复杂度和检测步骤增长；并购与服务装机基数需单独桥接。</x:v>
      </x:c>
      <x:c r="V12" t="str">
        <x:v>80%</x:v>
      </x:c>
      <x:c r="W12" s="32"/>
      <x:c r="X12" s="32"/>
    </x:row>
    <x:row r="13" ht="25" customHeight="1">
      <x:c r="A13" t="str">
        <x:v>校准</x:v>
      </x:c>
      <x:c r="B13" t="str">
        <x:v>KLA@FY2019</x:v>
      </x:c>
      <x:c r="C13" t="str">
        <x:v>KLA</x:v>
      </x:c>
      <x:c r="D13" t="str">
        <x:v>process-control-content-intensity</x:v>
      </x:c>
      <x:c r="E13" t="str">
        <x:v>FY2019</x:v>
      </x:c>
      <x:c r="F13" t="str">
        <x:v>FY2021</x:v>
      </x:c>
      <x:c r="G13" t="n">
        <x:v>2</x:v>
      </x:c>
      <x:c r="H13" t="str">
        <x:v>营业收入</x:v>
      </x:c>
      <x:c r="I13" t="str">
        <x:v>USD bn</x:v>
      </x:c>
      <x:c r="J13" s="69" t="n">
        <x:v>6.918734</x:v>
      </x:c>
      <x:c r="K13" s="73" t="n">
        <x:v>5.6</x:v>
      </x:c>
      <x:c r="L13" s="73" t="n">
        <x:v>6.7</x:v>
      </x:c>
      <x:c r="M13" s="64" t="n">
        <x:f>ABS(K13-J13)</x:f>
        <x:v>1.318734</x:v>
      </x:c>
      <x:c r="N13" s="64" t="n">
        <x:f>ABS(L13-J13)</x:f>
        <x:v>0.21873399999999954</x:v>
      </x:c>
      <x:c r="O13" s="32"/>
      <x:c r="P13" s="32"/>
      <x:c r="Q13" s="32"/>
      <x:c r="R13" s="34"/>
      <x:c r="S13" s="34"/>
      <x:c r="T13" t="str">
        <x:v>KLA_FY2019_10K;KLA_FY2021_10K;KLA_FY2024_10K</x:v>
      </x:c>
      <x:c r="U13" t="str">
        <x:v>过程控制价值量随节点复杂度和检测步骤增长；并购与服务装机基数需单独桥接。</x:v>
      </x:c>
      <x:c r="V13" t="str">
        <x:v>80%</x:v>
      </x:c>
      <x:c r="W13" s="32" t="n">
        <x:f>ABS(K13-J13)/ABS(J13)</x:f>
        <x:v>0.19060336761031715</x:v>
      </x:c>
      <x:c r="X13" s="32" t="n">
        <x:f>ABS(L13-J13)/ABS(J13)</x:f>
        <x:v>0.03161474339091509</x:v>
      </x:c>
    </x:row>
    <x:row r="14" ht="25" customHeight="1">
      <x:c r="A14" t="str">
        <x:v>校准</x:v>
      </x:c>
      <x:c r="B14" t="str">
        <x:v>KLA@FY2019</x:v>
      </x:c>
      <x:c r="C14" t="str">
        <x:v>KLA</x:v>
      </x:c>
      <x:c r="D14" t="str">
        <x:v>process-control-content-intensity</x:v>
      </x:c>
      <x:c r="E14" t="str">
        <x:v>FY2019</x:v>
      </x:c>
      <x:c r="F14" t="str">
        <x:v>FY2021</x:v>
      </x:c>
      <x:c r="G14" t="n">
        <x:v>2</x:v>
      </x:c>
      <x:c r="H14" t="str">
        <x:v>net_income</x:v>
      </x:c>
      <x:c r="I14" t="str">
        <x:v>USD bn</x:v>
      </x:c>
      <x:c r="J14" s="69" t="n">
        <x:v>2.078292</x:v>
      </x:c>
      <x:c r="K14" s="73" t="n">
        <x:v>1.4</x:v>
      </x:c>
      <x:c r="L14" s="73" t="n">
        <x:v>1.9</x:v>
      </x:c>
      <x:c r="M14" s="64" t="n">
        <x:f>ABS(K14-J14)</x:f>
        <x:v>0.6782919999999999</x:v>
      </x:c>
      <x:c r="N14" s="64" t="n">
        <x:f>ABS(L14-J14)</x:f>
        <x:v>0.1782919999999999</x:v>
      </x:c>
      <x:c r="O14" s="32" t="n">
        <x:f>J14/J13</x:f>
        <x:v>0.30038616891471764</x:v>
      </x:c>
      <x:c r="P14" s="32" t="n">
        <x:f>K14/K13</x:f>
        <x:v>0.25</x:v>
      </x:c>
      <x:c r="Q14" s="32" t="n">
        <x:f>L14/L13</x:f>
        <x:v>0.2835820895522388</x:v>
      </x:c>
      <x:c r="R14" s="34" t="n">
        <x:f>ABS(P14-O14)*100</x:f>
        <x:v>5.038616891471764</x:v>
      </x:c>
      <x:c r="S14" s="34" t="n">
        <x:f>ABS(Q14-O14)*100</x:f>
        <x:v>1.6804079362478852</x:v>
      </x:c>
      <x:c r="T14" t="str">
        <x:v>KLA_FY2019_10K;KLA_FY2021_10K;KLA_FY2024_10K</x:v>
      </x:c>
      <x:c r="U14" t="str">
        <x:v>过程控制价值量随节点复杂度和检测步骤增长；并购与服务装机基数需单独桥接。</x:v>
      </x:c>
      <x:c r="V14" t="str">
        <x:v>80%</x:v>
      </x:c>
      <x:c r="W14" s="32"/>
      <x:c r="X14" s="32"/>
    </x:row>
    <x:row r="15" ht="25" customHeight="1">
      <x:c r="A15" t="str">
        <x:v>校准</x:v>
      </x:c>
      <x:c r="B15" t="str">
        <x:v>KLA@FY2019</x:v>
      </x:c>
      <x:c r="C15" t="str">
        <x:v>KLA</x:v>
      </x:c>
      <x:c r="D15" t="str">
        <x:v>process-control-content-intensity</x:v>
      </x:c>
      <x:c r="E15" t="str">
        <x:v>FY2019</x:v>
      </x:c>
      <x:c r="F15" t="str">
        <x:v>FY2022</x:v>
      </x:c>
      <x:c r="G15" t="n">
        <x:v>3</x:v>
      </x:c>
      <x:c r="H15" t="str">
        <x:v>营业收入</x:v>
      </x:c>
      <x:c r="I15" t="str">
        <x:v>USD bn</x:v>
      </x:c>
      <x:c r="J15" s="69" t="n">
        <x:v>9.211883</x:v>
      </x:c>
      <x:c r="K15" s="73" t="n">
        <x:v>6.2</x:v>
      </x:c>
      <x:c r="L15" s="73" t="n">
        <x:v>8.4</x:v>
      </x:c>
      <x:c r="M15" s="64" t="n">
        <x:f>ABS(K15-J15)</x:f>
        <x:v>3.011883</x:v>
      </x:c>
      <x:c r="N15" s="64" t="n">
        <x:f>ABS(L15-J15)</x:f>
        <x:v>0.8118829999999999</x:v>
      </x:c>
      <x:c r="O15" s="32"/>
      <x:c r="P15" s="32"/>
      <x:c r="Q15" s="32"/>
      <x:c r="R15" s="34"/>
      <x:c r="S15" s="34"/>
      <x:c r="T15" t="str">
        <x:v>KLA_FY2019_10K;KLA_FY2021_10K;KLA_FY2024_10K</x:v>
      </x:c>
      <x:c r="U15" t="str">
        <x:v>过程控制价值量随节点复杂度和检测步骤增长；并购与服务装机基数需单独桥接。</x:v>
      </x:c>
      <x:c r="V15" t="str">
        <x:v>80%</x:v>
      </x:c>
      <x:c r="W15" s="32" t="n">
        <x:f>ABS(K15-J15)/ABS(J15)</x:f>
        <x:v>0.3269562802740764</x:v>
      </x:c>
      <x:c r="X15" s="32" t="n">
        <x:f>ABS(L15-J15)/ABS(J15)</x:f>
        <x:v>0.08813431521003902</x:v>
      </x:c>
    </x:row>
    <x:row r="16" ht="25" customHeight="1">
      <x:c r="A16" t="str">
        <x:v>校准</x:v>
      </x:c>
      <x:c r="B16" t="str">
        <x:v>KLA@FY2019</x:v>
      </x:c>
      <x:c r="C16" t="str">
        <x:v>KLA</x:v>
      </x:c>
      <x:c r="D16" t="str">
        <x:v>process-control-content-intensity</x:v>
      </x:c>
      <x:c r="E16" t="str">
        <x:v>FY2019</x:v>
      </x:c>
      <x:c r="F16" t="str">
        <x:v>FY2022</x:v>
      </x:c>
      <x:c r="G16" t="n">
        <x:v>3</x:v>
      </x:c>
      <x:c r="H16" t="str">
        <x:v>net_income</x:v>
      </x:c>
      <x:c r="I16" t="str">
        <x:v>USD bn</x:v>
      </x:c>
      <x:c r="J16" s="69" t="n">
        <x:v>3.321807</x:v>
      </x:c>
      <x:c r="K16" s="73" t="n">
        <x:v>1.55</x:v>
      </x:c>
      <x:c r="L16" s="73" t="n">
        <x:v>2.8</x:v>
      </x:c>
      <x:c r="M16" s="64" t="n">
        <x:f>ABS(K16-J16)</x:f>
        <x:v>1.7718070000000001</x:v>
      </x:c>
      <x:c r="N16" s="64" t="n">
        <x:f>ABS(L16-J16)</x:f>
        <x:v>0.5218070000000004</x:v>
      </x:c>
      <x:c r="O16" s="32" t="n">
        <x:f>J16/J15</x:f>
        <x:v>0.360600216047034</x:v>
      </x:c>
      <x:c r="P16" s="32" t="n">
        <x:f>K16/K15</x:f>
        <x:v>0.25</x:v>
      </x:c>
      <x:c r="Q16" s="32" t="n">
        <x:f>L16/L15</x:f>
        <x:v>0.3333333333333333</x:v>
      </x:c>
      <x:c r="R16" s="34" t="n">
        <x:f>ABS(P16-O16)*100</x:f>
        <x:v>11.060021604703401</x:v>
      </x:c>
      <x:c r="S16" s="34" t="n">
        <x:f>ABS(Q16-O16)*100</x:f>
        <x:v>2.72668827137007</x:v>
      </x:c>
      <x:c r="T16" t="str">
        <x:v>KLA_FY2019_10K;KLA_FY2021_10K;KLA_FY2024_10K</x:v>
      </x:c>
      <x:c r="U16" t="str">
        <x:v>过程控制价值量随节点复杂度和检测步骤增长；并购与服务装机基数需单独桥接。</x:v>
      </x:c>
      <x:c r="V16" t="str">
        <x:v>80%</x:v>
      </x:c>
      <x:c r="W16" s="32"/>
      <x:c r="X16" s="32"/>
    </x:row>
    <x:row r="17" ht="25" customHeight="1">
      <x:c r="A17" t="str">
        <x:v>校准</x:v>
      </x:c>
      <x:c r="B17" t="str">
        <x:v>AVGO@FY2019</x:v>
      </x:c>
      <x:c r="C17" t="str">
        <x:v>Broadcom</x:v>
      </x:c>
      <x:c r="D17" t="str">
        <x:v>hybrid-semiconductor-software-ma</x:v>
      </x:c>
      <x:c r="E17" t="str">
        <x:v>FY2019</x:v>
      </x:c>
      <x:c r="F17" t="str">
        <x:v>FY2020</x:v>
      </x:c>
      <x:c r="G17" t="n">
        <x:v>1</x:v>
      </x:c>
      <x:c r="H17" t="str">
        <x:v>营业收入</x:v>
      </x:c>
      <x:c r="I17" t="str">
        <x:v>USD bn</x:v>
      </x:c>
      <x:c r="J17" s="69" t="n">
        <x:v>23.888</x:v>
      </x:c>
      <x:c r="K17" s="73" t="n">
        <x:v>23.5</x:v>
      </x:c>
      <x:c r="L17" s="73" t="n">
        <x:v>24</x:v>
      </x:c>
      <x:c r="M17" s="64" t="n">
        <x:f>ABS(K17-J17)</x:f>
        <x:v>0.3880000000000017</x:v>
      </x:c>
      <x:c r="N17" s="64" t="n">
        <x:f>ABS(L17-J17)</x:f>
        <x:v>0.11199999999999832</x:v>
      </x:c>
      <x:c r="O17" s="32"/>
      <x:c r="P17" s="32"/>
      <x:c r="Q17" s="32"/>
      <x:c r="R17" s="34"/>
      <x:c r="S17" s="34"/>
      <x:c r="T17" t="str">
        <x:v>AVGO_FY2019_10K;AVGO_FY2021_10K;AVGO_FY2022_10K</x:v>
      </x:c>
      <x:c r="U17" t="str">
        <x:v>先做organic/acquired/perimeter bridge，再拆半导体产品与订阅服务，并显式处理摊销和降杠杆。</x:v>
      </x:c>
      <x:c r="V17" t="str">
        <x:v>80%</x:v>
      </x:c>
      <x:c r="W17" s="32" t="n">
        <x:f>ABS(K17-J17)/ABS(J17)</x:f>
        <x:v>0.01624246483590094</x:v>
      </x:c>
      <x:c r="X17" s="32" t="n">
        <x:f>ABS(L17-J17)/ABS(J17)</x:f>
        <x:v>0.004688546550569253</x:v>
      </x:c>
    </x:row>
    <x:row r="18" ht="25" customHeight="1">
      <x:c r="A18" t="str">
        <x:v>校准</x:v>
      </x:c>
      <x:c r="B18" t="str">
        <x:v>AVGO@FY2019</x:v>
      </x:c>
      <x:c r="C18" t="str">
        <x:v>Broadcom</x:v>
      </x:c>
      <x:c r="D18" t="str">
        <x:v>hybrid-semiconductor-software-ma</x:v>
      </x:c>
      <x:c r="E18" t="str">
        <x:v>FY2019</x:v>
      </x:c>
      <x:c r="F18" t="str">
        <x:v>FY2020</x:v>
      </x:c>
      <x:c r="G18" t="n">
        <x:v>1</x:v>
      </x:c>
      <x:c r="H18" t="str">
        <x:v>net_income_common</x:v>
      </x:c>
      <x:c r="I18" t="str">
        <x:v>USD bn</x:v>
      </x:c>
      <x:c r="J18" s="69" t="n">
        <x:v>2.663</x:v>
      </x:c>
      <x:c r="K18" s="73" t="n">
        <x:v>3</x:v>
      </x:c>
      <x:c r="L18" s="73" t="n">
        <x:v>2.8</x:v>
      </x:c>
      <x:c r="M18" s="64" t="n">
        <x:f>ABS(K18-J18)</x:f>
        <x:v>0.3370000000000002</x:v>
      </x:c>
      <x:c r="N18" s="64" t="n">
        <x:f>ABS(L18-J18)</x:f>
        <x:v>0.137</x:v>
      </x:c>
      <x:c r="O18" s="32" t="n">
        <x:f>J18/J17</x:f>
        <x:v>0.11147856664434024</x:v>
      </x:c>
      <x:c r="P18" s="32" t="n">
        <x:f>K18/K17</x:f>
        <x:v>0.1276595744680851</x:v>
      </x:c>
      <x:c r="Q18" s="32" t="n">
        <x:f>L18/L17</x:f>
        <x:v>0.11666666666666665</x:v>
      </x:c>
      <x:c r="R18" s="34" t="n">
        <x:f>ABS(P18-O18)*100</x:f>
        <x:v>1.6181007823744862</x:v>
      </x:c>
      <x:c r="S18" s="34" t="n">
        <x:f>ABS(Q18-O18)*100</x:f>
        <x:v>0.518810002232642</x:v>
      </x:c>
      <x:c r="T18" t="str">
        <x:v>AVGO_FY2019_10K;AVGO_FY2021_10K;AVGO_FY2022_10K</x:v>
      </x:c>
      <x:c r="U18" t="str">
        <x:v>先做organic/acquired/perimeter bridge，再拆半导体产品与订阅服务，并显式处理摊销和降杠杆。</x:v>
      </x:c>
      <x:c r="V18" t="str">
        <x:v>80%</x:v>
      </x:c>
      <x:c r="W18" s="32"/>
      <x:c r="X18" s="32"/>
    </x:row>
    <x:row r="19" ht="25" customHeight="1">
      <x:c r="A19" t="str">
        <x:v>校准</x:v>
      </x:c>
      <x:c r="B19" t="str">
        <x:v>AVGO@FY2019</x:v>
      </x:c>
      <x:c r="C19" t="str">
        <x:v>Broadcom</x:v>
      </x:c>
      <x:c r="D19" t="str">
        <x:v>hybrid-semiconductor-software-ma</x:v>
      </x:c>
      <x:c r="E19" t="str">
        <x:v>FY2019</x:v>
      </x:c>
      <x:c r="F19" t="str">
        <x:v>FY2021</x:v>
      </x:c>
      <x:c r="G19" t="n">
        <x:v>2</x:v>
      </x:c>
      <x:c r="H19" t="str">
        <x:v>营业收入</x:v>
      </x:c>
      <x:c r="I19" t="str">
        <x:v>USD bn</x:v>
      </x:c>
      <x:c r="J19" s="69" t="n">
        <x:v>27.45</x:v>
      </x:c>
      <x:c r="K19" s="73" t="n">
        <x:v>24.5</x:v>
      </x:c>
      <x:c r="L19" s="73" t="n">
        <x:v>27</x:v>
      </x:c>
      <x:c r="M19" s="64" t="n">
        <x:f>ABS(K19-J19)</x:f>
        <x:v>2.9499999999999993</x:v>
      </x:c>
      <x:c r="N19" s="64" t="n">
        <x:f>ABS(L19-J19)</x:f>
        <x:v>0.4499999999999993</x:v>
      </x:c>
      <x:c r="O19" s="32"/>
      <x:c r="P19" s="32"/>
      <x:c r="Q19" s="32"/>
      <x:c r="R19" s="34"/>
      <x:c r="S19" s="34"/>
      <x:c r="T19" t="str">
        <x:v>AVGO_FY2019_10K;AVGO_FY2021_10K;AVGO_FY2022_10K</x:v>
      </x:c>
      <x:c r="U19" t="str">
        <x:v>先做organic/acquired/perimeter bridge，再拆半导体产品与订阅服务，并显式处理摊销和降杠杆。</x:v>
      </x:c>
      <x:c r="V19" t="str">
        <x:v>80%</x:v>
      </x:c>
      <x:c r="W19" s="32" t="n">
        <x:f>ABS(K19-J19)/ABS(J19)</x:f>
        <x:v>0.10746812386156646</x:v>
      </x:c>
      <x:c r="X19" s="32" t="n">
        <x:f>ABS(L19-J19)/ABS(J19)</x:f>
        <x:v>0.016393442622950793</x:v>
      </x:c>
    </x:row>
    <x:row r="20" ht="25" customHeight="1">
      <x:c r="A20" t="str">
        <x:v>校准</x:v>
      </x:c>
      <x:c r="B20" t="str">
        <x:v>AVGO@FY2019</x:v>
      </x:c>
      <x:c r="C20" t="str">
        <x:v>Broadcom</x:v>
      </x:c>
      <x:c r="D20" t="str">
        <x:v>hybrid-semiconductor-software-ma</x:v>
      </x:c>
      <x:c r="E20" t="str">
        <x:v>FY2019</x:v>
      </x:c>
      <x:c r="F20" t="str">
        <x:v>FY2021</x:v>
      </x:c>
      <x:c r="G20" t="n">
        <x:v>2</x:v>
      </x:c>
      <x:c r="H20" t="str">
        <x:v>net_income_common</x:v>
      </x:c>
      <x:c r="I20" t="str">
        <x:v>USD bn</x:v>
      </x:c>
      <x:c r="J20" s="69" t="n">
        <x:v>6.437</x:v>
      </x:c>
      <x:c r="K20" s="73" t="n">
        <x:v>3.5</x:v>
      </x:c>
      <x:c r="L20" s="73" t="n">
        <x:v>5.8</x:v>
      </x:c>
      <x:c r="M20" s="64" t="n">
        <x:f>ABS(K20-J20)</x:f>
        <x:v>2.9370000000000003</x:v>
      </x:c>
      <x:c r="N20" s="64" t="n">
        <x:f>ABS(L20-J20)</x:f>
        <x:v>0.6370000000000005</x:v>
      </x:c>
      <x:c r="O20" s="32" t="n">
        <x:f>J20/J19</x:f>
        <x:v>0.23449908925318763</x:v>
      </x:c>
      <x:c r="P20" s="32" t="n">
        <x:f>K20/K19</x:f>
        <x:v>0.14285714285714285</x:v>
      </x:c>
      <x:c r="Q20" s="32" t="n">
        <x:f>L20/L19</x:f>
        <x:v>0.21481481481481482</x:v>
      </x:c>
      <x:c r="R20" s="34" t="n">
        <x:f>ABS(P20-O20)*100</x:f>
        <x:v>9.164194639604478</x:v>
      </x:c>
      <x:c r="S20" s="34" t="n">
        <x:f>ABS(Q20-O20)*100</x:f>
        <x:v>1.9684274438372813</x:v>
      </x:c>
      <x:c r="T20" t="str">
        <x:v>AVGO_FY2019_10K;AVGO_FY2021_10K;AVGO_FY2022_10K</x:v>
      </x:c>
      <x:c r="U20" t="str">
        <x:v>先做organic/acquired/perimeter bridge，再拆半导体产品与订阅服务，并显式处理摊销和降杠杆。</x:v>
      </x:c>
      <x:c r="V20" t="str">
        <x:v>80%</x:v>
      </x:c>
      <x:c r="W20" s="32"/>
      <x:c r="X20" s="32"/>
    </x:row>
    <x:row r="21" ht="25" customHeight="1">
      <x:c r="A21" t="str">
        <x:v>校准</x:v>
      </x:c>
      <x:c r="B21" t="str">
        <x:v>AVGO@FY2019</x:v>
      </x:c>
      <x:c r="C21" t="str">
        <x:v>Broadcom</x:v>
      </x:c>
      <x:c r="D21" t="str">
        <x:v>hybrid-semiconductor-software-ma</x:v>
      </x:c>
      <x:c r="E21" t="str">
        <x:v>FY2019</x:v>
      </x:c>
      <x:c r="F21" t="str">
        <x:v>FY2022</x:v>
      </x:c>
      <x:c r="G21" t="n">
        <x:v>3</x:v>
      </x:c>
      <x:c r="H21" t="str">
        <x:v>营业收入</x:v>
      </x:c>
      <x:c r="I21" t="str">
        <x:v>USD bn</x:v>
      </x:c>
      <x:c r="J21" s="69" t="n">
        <x:v>33.203</x:v>
      </x:c>
      <x:c r="K21" s="73" t="n">
        <x:v>26</x:v>
      </x:c>
      <x:c r="L21" s="73" t="n">
        <x:v>31</x:v>
      </x:c>
      <x:c r="M21" s="64" t="n">
        <x:f>ABS(K21-J21)</x:f>
        <x:v>7.203000000000003</x:v>
      </x:c>
      <x:c r="N21" s="64" t="n">
        <x:f>ABS(L21-J21)</x:f>
        <x:v>2.203000000000003</x:v>
      </x:c>
      <x:c r="O21" s="32"/>
      <x:c r="P21" s="32"/>
      <x:c r="Q21" s="32"/>
      <x:c r="R21" s="34"/>
      <x:c r="S21" s="34"/>
      <x:c r="T21" t="str">
        <x:v>AVGO_FY2019_10K;AVGO_FY2021_10K;AVGO_FY2022_10K</x:v>
      </x:c>
      <x:c r="U21" t="str">
        <x:v>先做organic/acquired/perimeter bridge，再拆半导体产品与订阅服务，并显式处理摊销和降杠杆。</x:v>
      </x:c>
      <x:c r="V21" t="str">
        <x:v>80%</x:v>
      </x:c>
      <x:c r="W21" s="32" t="n">
        <x:f>ABS(K21-J21)/ABS(J21)</x:f>
        <x:v>0.2169382284733308</x:v>
      </x:c>
      <x:c r="X21" s="32" t="n">
        <x:f>ABS(L21-J21)/ABS(J21)</x:f>
        <x:v>0.06634942625666364</x:v>
      </x:c>
    </x:row>
    <x:row r="22" ht="25" customHeight="1">
      <x:c r="A22" t="str">
        <x:v>校准</x:v>
      </x:c>
      <x:c r="B22" t="str">
        <x:v>AVGO@FY2019</x:v>
      </x:c>
      <x:c r="C22" t="str">
        <x:v>Broadcom</x:v>
      </x:c>
      <x:c r="D22" t="str">
        <x:v>hybrid-semiconductor-software-ma</x:v>
      </x:c>
      <x:c r="E22" t="str">
        <x:v>FY2019</x:v>
      </x:c>
      <x:c r="F22" t="str">
        <x:v>FY2022</x:v>
      </x:c>
      <x:c r="G22" t="n">
        <x:v>3</x:v>
      </x:c>
      <x:c r="H22" t="str">
        <x:v>net_income_common</x:v>
      </x:c>
      <x:c r="I22" t="str">
        <x:v>USD bn</x:v>
      </x:c>
      <x:c r="J22" s="69" t="n">
        <x:v>11.223</x:v>
      </x:c>
      <x:c r="K22" s="73" t="n">
        <x:v>4.2</x:v>
      </x:c>
      <x:c r="L22" s="73" t="n">
        <x:v>9.5</x:v>
      </x:c>
      <x:c r="M22" s="64" t="n">
        <x:f>ABS(K22-J22)</x:f>
        <x:v>7.023000000000001</x:v>
      </x:c>
      <x:c r="N22" s="64" t="n">
        <x:f>ABS(L22-J22)</x:f>
        <x:v>1.7230000000000008</x:v>
      </x:c>
      <x:c r="O22" s="32" t="n">
        <x:f>J22/J21</x:f>
        <x:v>0.3380116254555311</x:v>
      </x:c>
      <x:c r="P22" s="32" t="n">
        <x:f>K22/K21</x:f>
        <x:v>0.16153846153846155</x:v>
      </x:c>
      <x:c r="Q22" s="32" t="n">
        <x:f>L22/L21</x:f>
        <x:v>0.3064516129032258</x:v>
      </x:c>
      <x:c r="R22" s="34" t="n">
        <x:f>ABS(P22-O22)*100</x:f>
        <x:v>17.647316391706955</x:v>
      </x:c>
      <x:c r="S22" s="34" t="n">
        <x:f>ABS(Q22-O22)*100</x:f>
        <x:v>3.156001255230528</x:v>
      </x:c>
      <x:c r="T22" t="str">
        <x:v>AVGO_FY2019_10K;AVGO_FY2021_10K;AVGO_FY2022_10K</x:v>
      </x:c>
      <x:c r="U22" t="str">
        <x:v>先做organic/acquired/perimeter bridge，再拆半导体产品与订阅服务，并显式处理摊销和降杠杆。</x:v>
      </x:c>
      <x:c r="V22" t="str">
        <x:v>80%</x:v>
      </x:c>
      <x:c r="W22" s="32"/>
      <x:c r="X22" s="32"/>
    </x:row>
    <x:row r="23" ht="25" customHeight="1">
      <x:c r="A23" t="str">
        <x:v>校准</x:v>
      </x:c>
      <x:c r="B23" t="str">
        <x:v>VRT@FY2020</x:v>
      </x:c>
      <x:c r="C23" t="str">
        <x:v>Vertiv</x:v>
      </x:c>
      <x:c r="D23" t="str">
        <x:v>power-cooling-project-backlog</x:v>
      </x:c>
      <x:c r="E23" t="str">
        <x:v>FY2020</x:v>
      </x:c>
      <x:c r="F23" t="str">
        <x:v>FY2021</x:v>
      </x:c>
      <x:c r="G23" t="n">
        <x:v>1</x:v>
      </x:c>
      <x:c r="H23" t="str">
        <x:v>营业收入</x:v>
      </x:c>
      <x:c r="I23" t="str">
        <x:v>USD bn</x:v>
      </x:c>
      <x:c r="J23" s="69" t="n">
        <x:v>4.9981</x:v>
      </x:c>
      <x:c r="K23" s="73" t="n">
        <x:v>4.8</x:v>
      </x:c>
      <x:c r="L23" s="73" t="n">
        <x:v>5</x:v>
      </x:c>
      <x:c r="M23" s="64" t="n">
        <x:f>ABS(K23-J23)</x:f>
        <x:v>0.19810000000000016</x:v>
      </x:c>
      <x:c r="N23" s="64" t="n">
        <x:f>ABS(L23-J23)</x:f>
        <x:v>0.0019000000000000128</x:v>
      </x:c>
      <x:c r="O23" s="32"/>
      <x:c r="P23" s="32"/>
      <x:c r="Q23" s="32"/>
      <x:c r="R23" s="34"/>
      <x:c r="S23" s="34"/>
      <x:c r="T23" t="str">
        <x:v>VRT_FY2020_10K;VRT_FY2023_10K</x:v>
      </x:c>
      <x:c r="U23" t="str">
        <x:v>backlog必须经过取消率、项目交付、价格成本时滞和服务收入转化，不能直接等于未来收入。</x:v>
      </x:c>
      <x:c r="V23" t="str">
        <x:v>80%</x:v>
      </x:c>
      <x:c r="W23" s="32" t="n">
        <x:f>ABS(K23-J23)/ABS(J23)</x:f>
        <x:v>0.03963506132330289</x:v>
      </x:c>
      <x:c r="X23" s="32" t="n">
        <x:f>ABS(L23-J23)/ABS(J23)</x:f>
        <x:v>0.00038014445489286183</x:v>
      </x:c>
    </x:row>
    <x:row r="24" ht="25" customHeight="1">
      <x:c r="A24" t="str">
        <x:v>校准</x:v>
      </x:c>
      <x:c r="B24" t="str">
        <x:v>VRT@FY2020</x:v>
      </x:c>
      <x:c r="C24" t="str">
        <x:v>Vertiv</x:v>
      </x:c>
      <x:c r="D24" t="str">
        <x:v>power-cooling-project-backlog</x:v>
      </x:c>
      <x:c r="E24" t="str">
        <x:v>FY2020</x:v>
      </x:c>
      <x:c r="F24" t="str">
        <x:v>FY2021</x:v>
      </x:c>
      <x:c r="G24" t="n">
        <x:v>1</x:v>
      </x:c>
      <x:c r="H24" t="str">
        <x:v>gross_profit</x:v>
      </x:c>
      <x:c r="I24" t="str">
        <x:v>USD bn</x:v>
      </x:c>
      <x:c r="J24" s="69" t="n">
        <x:v>1.5227</x:v>
      </x:c>
      <x:c r="K24" s="73" t="n">
        <x:v>1.55</x:v>
      </x:c>
      <x:c r="L24" s="73" t="n">
        <x:v>1.52</x:v>
      </x:c>
      <x:c r="M24" s="64" t="n">
        <x:f>ABS(K24-J24)</x:f>
        <x:v>0.027300000000000102</x:v>
      </x:c>
      <x:c r="N24" s="64" t="n">
        <x:f>ABS(L24-J24)</x:f>
        <x:v>0.0026999999999999247</x:v>
      </x:c>
      <x:c r="O24" s="32" t="n">
        <x:f>J24/J23</x:f>
        <x:v>0.30465576919229304</x:v>
      </x:c>
      <x:c r="P24" s="32" t="n">
        <x:f>K24/K23</x:f>
        <x:v>0.3229166666666667</x:v>
      </x:c>
      <x:c r="Q24" s="32" t="n">
        <x:f>L24/L23</x:f>
        <x:v>0.304</x:v>
      </x:c>
      <x:c r="R24" s="34" t="n">
        <x:f>ABS(P24-O24)*100</x:f>
        <x:v>1.826089747437365</x:v>
      </x:c>
      <x:c r="S24" s="34" t="n">
        <x:f>ABS(Q24-O24)*100</x:f>
        <x:v>0.06557691922930431</x:v>
      </x:c>
      <x:c r="T24" t="str">
        <x:v>VRT_FY2020_10K;VRT_FY2023_10K</x:v>
      </x:c>
      <x:c r="U24" t="str">
        <x:v>backlog必须经过取消率、项目交付、价格成本时滞和服务收入转化，不能直接等于未来收入。</x:v>
      </x:c>
      <x:c r="V24" t="str">
        <x:v>80%</x:v>
      </x:c>
      <x:c r="W24" s="32"/>
      <x:c r="X24" s="32"/>
    </x:row>
    <x:row r="25" ht="25" customHeight="1">
      <x:c r="A25" t="str">
        <x:v>校准</x:v>
      </x:c>
      <x:c r="B25" t="str">
        <x:v>VRT@FY2020</x:v>
      </x:c>
      <x:c r="C25" t="str">
        <x:v>Vertiv</x:v>
      </x:c>
      <x:c r="D25" t="str">
        <x:v>power-cooling-project-backlog</x:v>
      </x:c>
      <x:c r="E25" t="str">
        <x:v>FY2020</x:v>
      </x:c>
      <x:c r="F25" t="str">
        <x:v>FY2022</x:v>
      </x:c>
      <x:c r="G25" t="n">
        <x:v>2</x:v>
      </x:c>
      <x:c r="H25" t="str">
        <x:v>营业收入</x:v>
      </x:c>
      <x:c r="I25" t="str">
        <x:v>USD bn</x:v>
      </x:c>
      <x:c r="J25" s="69" t="n">
        <x:v>5.6915</x:v>
      </x:c>
      <x:c r="K25" s="73" t="n">
        <x:v>5.3</x:v>
      </x:c>
      <x:c r="L25" s="73" t="n">
        <x:v>5.7</x:v>
      </x:c>
      <x:c r="M25" s="64" t="n">
        <x:f>ABS(K25-J25)</x:f>
        <x:v>0.39149999999999974</x:v>
      </x:c>
      <x:c r="N25" s="64" t="n">
        <x:f>ABS(L25-J25)</x:f>
        <x:v>0.008500000000000618</x:v>
      </x:c>
      <x:c r="O25" s="32"/>
      <x:c r="P25" s="32"/>
      <x:c r="Q25" s="32"/>
      <x:c r="R25" s="34"/>
      <x:c r="S25" s="34"/>
      <x:c r="T25" t="str">
        <x:v>VRT_FY2020_10K;VRT_FY2023_10K</x:v>
      </x:c>
      <x:c r="U25" t="str">
        <x:v>backlog必须经过取消率、项目交付、价格成本时滞和服务收入转化，不能直接等于未来收入。</x:v>
      </x:c>
      <x:c r="V25" t="str">
        <x:v>80%</x:v>
      </x:c>
      <x:c r="W25" s="32" t="n">
        <x:f>ABS(K25-J25)/ABS(J25)</x:f>
        <x:v>0.06878678731441619</x:v>
      </x:c>
      <x:c r="X25" s="32" t="n">
        <x:f>ABS(L25-J25)/ABS(J25)</x:f>
        <x:v>0.0014934551524203846</x:v>
      </x:c>
    </x:row>
    <x:row r="26" ht="25" customHeight="1">
      <x:c r="A26" t="str">
        <x:v>校准</x:v>
      </x:c>
      <x:c r="B26" t="str">
        <x:v>VRT@FY2020</x:v>
      </x:c>
      <x:c r="C26" t="str">
        <x:v>Vertiv</x:v>
      </x:c>
      <x:c r="D26" t="str">
        <x:v>power-cooling-project-backlog</x:v>
      </x:c>
      <x:c r="E26" t="str">
        <x:v>FY2020</x:v>
      </x:c>
      <x:c r="F26" t="str">
        <x:v>FY2022</x:v>
      </x:c>
      <x:c r="G26" t="n">
        <x:v>2</x:v>
      </x:c>
      <x:c r="H26" t="str">
        <x:v>gross_profit</x:v>
      </x:c>
      <x:c r="I26" t="str">
        <x:v>USD bn</x:v>
      </x:c>
      <x:c r="J26" s="69" t="n">
        <x:v>1.6161</x:v>
      </x:c>
      <x:c r="K26" s="73" t="n">
        <x:v>1.72</x:v>
      </x:c>
      <x:c r="L26" s="73" t="n">
        <x:v>1.65</x:v>
      </x:c>
      <x:c r="M26" s="64" t="n">
        <x:f>ABS(K26-J26)</x:f>
        <x:v>0.10389999999999988</x:v>
      </x:c>
      <x:c r="N26" s="64" t="n">
        <x:f>ABS(L26-J26)</x:f>
        <x:v>0.03389999999999982</x:v>
      </x:c>
      <x:c r="O26" s="32" t="n">
        <x:f>J26/J25</x:f>
        <x:v>0.28394974962663627</x:v>
      </x:c>
      <x:c r="P26" s="32" t="n">
        <x:f>K26/K25</x:f>
        <x:v>0.32452830188679244</x:v>
      </x:c>
      <x:c r="Q26" s="32" t="n">
        <x:f>L26/L25</x:f>
        <x:v>0.28947368421052627</x:v>
      </x:c>
      <x:c r="R26" s="34" t="n">
        <x:f>ABS(P26-O26)*100</x:f>
        <x:v>4.057855226015617</x:v>
      </x:c>
      <x:c r="S26" s="34" t="n">
        <x:f>ABS(Q26-O26)*100</x:f>
        <x:v>0.552393458389</x:v>
      </x:c>
      <x:c r="T26" t="str">
        <x:v>VRT_FY2020_10K;VRT_FY2023_10K</x:v>
      </x:c>
      <x:c r="U26" t="str">
        <x:v>backlog必须经过取消率、项目交付、价格成本时滞和服务收入转化，不能直接等于未来收入。</x:v>
      </x:c>
      <x:c r="V26" t="str">
        <x:v>80%</x:v>
      </x:c>
      <x:c r="W26" s="32"/>
      <x:c r="X26" s="32"/>
    </x:row>
    <x:row r="27" ht="25" customHeight="1">
      <x:c r="A27" t="str">
        <x:v>校准</x:v>
      </x:c>
      <x:c r="B27" t="str">
        <x:v>VRT@FY2020</x:v>
      </x:c>
      <x:c r="C27" t="str">
        <x:v>Vertiv</x:v>
      </x:c>
      <x:c r="D27" t="str">
        <x:v>power-cooling-project-backlog</x:v>
      </x:c>
      <x:c r="E27" t="str">
        <x:v>FY2020</x:v>
      </x:c>
      <x:c r="F27" t="str">
        <x:v>FY2023</x:v>
      </x:c>
      <x:c r="G27" t="n">
        <x:v>3</x:v>
      </x:c>
      <x:c r="H27" t="str">
        <x:v>营业收入</x:v>
      </x:c>
      <x:c r="I27" t="str">
        <x:v>USD bn</x:v>
      </x:c>
      <x:c r="J27" s="69" t="n">
        <x:v>6.8632</x:v>
      </x:c>
      <x:c r="K27" s="73" t="n">
        <x:v>5.8</x:v>
      </x:c>
      <x:c r="L27" s="73" t="n">
        <x:v>6.6</x:v>
      </x:c>
      <x:c r="M27" s="64" t="n">
        <x:f>ABS(K27-J27)</x:f>
        <x:v>1.0632000000000001</x:v>
      </x:c>
      <x:c r="N27" s="64" t="n">
        <x:f>ABS(L27-J27)</x:f>
        <x:v>0.2632000000000003</x:v>
      </x:c>
      <x:c r="O27" s="32"/>
      <x:c r="P27" s="32"/>
      <x:c r="Q27" s="32"/>
      <x:c r="R27" s="34"/>
      <x:c r="S27" s="34"/>
      <x:c r="T27" t="str">
        <x:v>VRT_FY2020_10K;VRT_FY2023_10K</x:v>
      </x:c>
      <x:c r="U27" t="str">
        <x:v>backlog必须经过取消率、项目交付、价格成本时滞和服务收入转化，不能直接等于未来收入。</x:v>
      </x:c>
      <x:c r="V27" t="str">
        <x:v>80%</x:v>
      </x:c>
      <x:c r="W27" s="32" t="n">
        <x:f>ABS(K27-J27)/ABS(J27)</x:f>
        <x:v>0.15491316004196296</x:v>
      </x:c>
      <x:c r="X27" s="32" t="n">
        <x:f>ABS(L27-J27)/ABS(J27)</x:f>
        <x:v>0.03834945797878545</x:v>
      </x:c>
    </x:row>
    <x:row r="28" ht="25" customHeight="1">
      <x:c r="A28" t="str">
        <x:v>校准</x:v>
      </x:c>
      <x:c r="B28" t="str">
        <x:v>VRT@FY2020</x:v>
      </x:c>
      <x:c r="C28" t="str">
        <x:v>Vertiv</x:v>
      </x:c>
      <x:c r="D28" t="str">
        <x:v>power-cooling-project-backlog</x:v>
      </x:c>
      <x:c r="E28" t="str">
        <x:v>FY2020</x:v>
      </x:c>
      <x:c r="F28" t="str">
        <x:v>FY2023</x:v>
      </x:c>
      <x:c r="G28" t="n">
        <x:v>3</x:v>
      </x:c>
      <x:c r="H28" t="str">
        <x:v>gross_profit</x:v>
      </x:c>
      <x:c r="I28" t="str">
        <x:v>USD bn</x:v>
      </x:c>
      <x:c r="J28" s="69" t="n">
        <x:v>2.4005</x:v>
      </x:c>
      <x:c r="K28" s="73" t="n">
        <x:v>1.9</x:v>
      </x:c>
      <x:c r="L28" s="73" t="n">
        <x:v>2.2</x:v>
      </x:c>
      <x:c r="M28" s="64" t="n">
        <x:f>ABS(K28-J28)</x:f>
        <x:v>0.5005000000000002</x:v>
      </x:c>
      <x:c r="N28" s="64" t="n">
        <x:f>ABS(L28-J28)</x:f>
        <x:v>0.2004999999999999</x:v>
      </x:c>
      <x:c r="O28" s="32" t="n">
        <x:f>J28/J27</x:f>
        <x:v>0.3497639585033221</x:v>
      </x:c>
      <x:c r="P28" s="32" t="n">
        <x:f>K28/K27</x:f>
        <x:v>0.3275862068965517</x:v>
      </x:c>
      <x:c r="Q28" s="32" t="n">
        <x:f>L28/L27</x:f>
        <x:v>0.33333333333333337</x:v>
      </x:c>
      <x:c r="R28" s="34" t="n">
        <x:f>ABS(P28-O28)*100</x:f>
        <x:v>2.217775160677038</x:v>
      </x:c>
      <x:c r="S28" s="34" t="n">
        <x:f>ABS(Q28-O28)*100</x:f>
        <x:v>1.6430625169988722</x:v>
      </x:c>
      <x:c r="T28" t="str">
        <x:v>VRT_FY2020_10K;VRT_FY2023_10K</x:v>
      </x:c>
      <x:c r="U28" t="str">
        <x:v>backlog必须经过取消率、项目交付、价格成本时滞和服务收入转化，不能直接等于未来收入。</x:v>
      </x:c>
      <x:c r="V28" t="str">
        <x:v>80%</x:v>
      </x:c>
      <x:c r="W28" s="32"/>
      <x:c r="X28" s="32"/>
    </x:row>
    <x:row r="29" ht="25" customHeight="1">
      <x:c r="A29" t="str">
        <x:v>校准</x:v>
      </x:c>
      <x:c r="B29" t="str">
        <x:v>COHR@FY2021</x:v>
      </x:c>
      <x:c r="C29" t="str">
        <x:v>II-VI / Coherent</x:v>
      </x:c>
      <x:c r="D29" t="str">
        <x:v>optics-materials-ma-integration</x:v>
      </x:c>
      <x:c r="E29" t="str">
        <x:v>FY2021</x:v>
      </x:c>
      <x:c r="F29" t="str">
        <x:v>FY2022</x:v>
      </x:c>
      <x:c r="G29" t="n">
        <x:v>1</x:v>
      </x:c>
      <x:c r="H29" t="str">
        <x:v>营业收入</x:v>
      </x:c>
      <x:c r="I29" t="str">
        <x:v>USD bn</x:v>
      </x:c>
      <x:c r="J29" s="69" t="n">
        <x:v>3.316616</x:v>
      </x:c>
      <x:c r="K29" s="73" t="n">
        <x:v>3.5</x:v>
      </x:c>
      <x:c r="L29" s="73" t="n">
        <x:v>3.3</x:v>
      </x:c>
      <x:c r="M29" s="64" t="n">
        <x:f>ABS(K29-J29)</x:f>
        <x:v>0.1833840000000002</x:v>
      </x:c>
      <x:c r="N29" s="64" t="n">
        <x:f>ABS(L29-J29)</x:f>
        <x:v>0.016615999999999964</x:v>
      </x:c>
      <x:c r="O29" s="32"/>
      <x:c r="P29" s="32"/>
      <x:c r="Q29" s="32"/>
      <x:c r="R29" s="34"/>
      <x:c r="S29" s="34"/>
      <x:c r="T29" t="str">
        <x:v>IIVI_FY2021_10K;IIVI_FY2022_10K;COHR_FY2023_10K;COHR_FY2024_10K</x:v>
      </x:c>
      <x:c r="U29" t="str">
        <x:v>并购概率、合并时点、债务利息、摊销、重组、良率和客户设计变更必须单列。</x:v>
      </x:c>
      <x:c r="V29" t="str">
        <x:v>80%</x:v>
      </x:c>
      <x:c r="W29" s="32" t="n">
        <x:f>ABS(K29-J29)/ABS(J29)</x:f>
        <x:v>0.05529250296084932</x:v>
      </x:c>
      <x:c r="X29" s="32" t="n">
        <x:f>ABS(L29-J29)/ABS(J29)</x:f>
        <x:v>0.005009925779770695</x:v>
      </x:c>
    </x:row>
    <x:row r="30" ht="25" customHeight="1">
      <x:c r="A30" t="str">
        <x:v>校准</x:v>
      </x:c>
      <x:c r="B30" t="str">
        <x:v>COHR@FY2021</x:v>
      </x:c>
      <x:c r="C30" t="str">
        <x:v>II-VI / Coherent</x:v>
      </x:c>
      <x:c r="D30" t="str">
        <x:v>optics-materials-ma-integration</x:v>
      </x:c>
      <x:c r="E30" t="str">
        <x:v>FY2021</x:v>
      </x:c>
      <x:c r="F30" t="str">
        <x:v>FY2022</x:v>
      </x:c>
      <x:c r="G30" t="n">
        <x:v>1</x:v>
      </x:c>
      <x:c r="H30" t="str">
        <x:v>net_income</x:v>
      </x:c>
      <x:c r="I30" t="str">
        <x:v>USD bn</x:v>
      </x:c>
      <x:c r="J30" s="69" t="n">
        <x:v>0.234759</x:v>
      </x:c>
      <x:c r="K30" s="73" t="n">
        <x:v>0.35</x:v>
      </x:c>
      <x:c r="L30" s="73" t="n">
        <x:v>0.22</x:v>
      </x:c>
      <x:c r="M30" s="64" t="n">
        <x:f>ABS(K30-J30)</x:f>
        <x:v>0.11524099999999998</x:v>
      </x:c>
      <x:c r="N30" s="64" t="n">
        <x:f>ABS(L30-J30)</x:f>
        <x:v>0.014758999999999994</x:v>
      </x:c>
      <x:c r="O30" s="32" t="n">
        <x:f>J30/J29</x:f>
        <x:v>0.07078268934359601</x:v>
      </x:c>
      <x:c r="P30" s="32" t="n">
        <x:f>K30/K29</x:f>
        <x:v>0.09999999999999999</x:v>
      </x:c>
      <x:c r="Q30" s="32" t="n">
        <x:f>L30/L29</x:f>
        <x:v>0.06666666666666667</x:v>
      </x:c>
      <x:c r="R30" s="34" t="n">
        <x:f>ABS(P30-O30)*100</x:f>
        <x:v>2.9217310656403983</x:v>
      </x:c>
      <x:c r="S30" s="34" t="n">
        <x:f>ABS(Q30-O30)*100</x:f>
        <x:v>0.4116022676929343</x:v>
      </x:c>
      <x:c r="T30" t="str">
        <x:v>IIVI_FY2021_10K;IIVI_FY2022_10K;COHR_FY2023_10K;COHR_FY2024_10K</x:v>
      </x:c>
      <x:c r="U30" t="str">
        <x:v>并购概率、合并时点、债务利息、摊销、重组、良率和客户设计变更必须单列。</x:v>
      </x:c>
      <x:c r="V30" t="str">
        <x:v>80%</x:v>
      </x:c>
      <x:c r="W30" s="32"/>
      <x:c r="X30" s="32"/>
    </x:row>
    <x:row r="31" ht="25" customHeight="1">
      <x:c r="A31" t="str">
        <x:v>校准</x:v>
      </x:c>
      <x:c r="B31" t="str">
        <x:v>COHR@FY2021</x:v>
      </x:c>
      <x:c r="C31" t="str">
        <x:v>II-VI / Coherent</x:v>
      </x:c>
      <x:c r="D31" t="str">
        <x:v>optics-materials-ma-integration</x:v>
      </x:c>
      <x:c r="E31" t="str">
        <x:v>FY2021</x:v>
      </x:c>
      <x:c r="F31" t="str">
        <x:v>FY2023</x:v>
      </x:c>
      <x:c r="G31" t="n">
        <x:v>2</x:v>
      </x:c>
      <x:c r="H31" t="str">
        <x:v>营业收入</x:v>
      </x:c>
      <x:c r="I31" t="str">
        <x:v>USD bn</x:v>
      </x:c>
      <x:c r="J31" s="69" t="n">
        <x:v>5.1601</x:v>
      </x:c>
      <x:c r="K31" s="73" t="n">
        <x:v>3.9</x:v>
      </x:c>
      <x:c r="L31" s="73" t="n">
        <x:v>5</x:v>
      </x:c>
      <x:c r="M31" s="64" t="n">
        <x:f>ABS(K31-J31)</x:f>
        <x:v>1.2601</x:v>
      </x:c>
      <x:c r="N31" s="64" t="n">
        <x:f>ABS(L31-J31)</x:f>
        <x:v>0.1600999999999999</x:v>
      </x:c>
      <x:c r="O31" s="32"/>
      <x:c r="P31" s="32"/>
      <x:c r="Q31" s="32"/>
      <x:c r="R31" s="34"/>
      <x:c r="S31" s="34"/>
      <x:c r="T31" t="str">
        <x:v>IIVI_FY2021_10K;IIVI_FY2022_10K;COHR_FY2023_10K;COHR_FY2024_10K</x:v>
      </x:c>
      <x:c r="U31" t="str">
        <x:v>并购概率、合并时点、债务利息、摊销、重组、良率和客户设计变更必须单列。</x:v>
      </x:c>
      <x:c r="V31" t="str">
        <x:v>80%</x:v>
      </x:c>
      <x:c r="W31" s="32" t="n">
        <x:f>ABS(K31-J31)/ABS(J31)</x:f>
        <x:v>0.24420069378500417</x:v>
      </x:c>
      <x:c r="X31" s="32" t="n">
        <x:f>ABS(L31-J31)/ABS(J31)</x:f>
        <x:v>0.031026530493595068</x:v>
      </x:c>
    </x:row>
    <x:row r="32" ht="25" customHeight="1">
      <x:c r="A32" t="str">
        <x:v>校准</x:v>
      </x:c>
      <x:c r="B32" t="str">
        <x:v>COHR@FY2021</x:v>
      </x:c>
      <x:c r="C32" t="str">
        <x:v>II-VI / Coherent</x:v>
      </x:c>
      <x:c r="D32" t="str">
        <x:v>optics-materials-ma-integration</x:v>
      </x:c>
      <x:c r="E32" t="str">
        <x:v>FY2021</x:v>
      </x:c>
      <x:c r="F32" t="str">
        <x:v>FY2023</x:v>
      </x:c>
      <x:c r="G32" t="n">
        <x:v>2</x:v>
      </x:c>
      <x:c r="H32" t="str">
        <x:v>net_income</x:v>
      </x:c>
      <x:c r="I32" t="str">
        <x:v>USD bn</x:v>
      </x:c>
      <x:c r="J32" s="69" t="n">
        <x:v>-0.259458</x:v>
      </x:c>
      <x:c r="K32" s="73" t="n">
        <x:v>0.45</x:v>
      </x:c>
      <x:c r="L32" s="73" t="n">
        <x:v>-0.2</x:v>
      </x:c>
      <x:c r="M32" s="64" t="n">
        <x:f>ABS(K32-J32)</x:f>
        <x:v>0.709458</x:v>
      </x:c>
      <x:c r="N32" s="64" t="n">
        <x:f>ABS(L32-J32)</x:f>
        <x:v>0.05945800000000001</x:v>
      </x:c>
      <x:c r="O32" s="32" t="n">
        <x:f>J32/J31</x:f>
        <x:v>-0.050281583690238565</x:v>
      </x:c>
      <x:c r="P32" s="32" t="n">
        <x:f>K32/K31</x:f>
        <x:v>0.11538461538461539</x:v>
      </x:c>
      <x:c r="Q32" s="32" t="n">
        <x:f>L32/L31</x:f>
        <x:v>-0.04</x:v>
      </x:c>
      <x:c r="R32" s="34" t="n">
        <x:f>ABS(P32-O32)*100</x:f>
        <x:v>16.566619907485396</x:v>
      </x:c>
      <x:c r="S32" s="34" t="n">
        <x:f>ABS(Q32-O32)*100</x:f>
        <x:v>1.0281583690238565</x:v>
      </x:c>
      <x:c r="T32" t="str">
        <x:v>IIVI_FY2021_10K;IIVI_FY2022_10K;COHR_FY2023_10K;COHR_FY2024_10K</x:v>
      </x:c>
      <x:c r="U32" t="str">
        <x:v>并购概率、合并时点、债务利息、摊销、重组、良率和客户设计变更必须单列。</x:v>
      </x:c>
      <x:c r="V32" t="str">
        <x:v>80%</x:v>
      </x:c>
      <x:c r="W32" s="32"/>
      <x:c r="X32" s="32"/>
    </x:row>
    <x:row r="33" ht="25" customHeight="1">
      <x:c r="A33" t="str">
        <x:v>校准</x:v>
      </x:c>
      <x:c r="B33" t="str">
        <x:v>COHR@FY2021</x:v>
      </x:c>
      <x:c r="C33" t="str">
        <x:v>II-VI / Coherent</x:v>
      </x:c>
      <x:c r="D33" t="str">
        <x:v>optics-materials-ma-integration</x:v>
      </x:c>
      <x:c r="E33" t="str">
        <x:v>FY2021</x:v>
      </x:c>
      <x:c r="F33" t="str">
        <x:v>FY2024</x:v>
      </x:c>
      <x:c r="G33" t="n">
        <x:v>3</x:v>
      </x:c>
      <x:c r="H33" t="str">
        <x:v>营业收入</x:v>
      </x:c>
      <x:c r="I33" t="str">
        <x:v>USD bn</x:v>
      </x:c>
      <x:c r="J33" s="69" t="n">
        <x:v>4.707688</x:v>
      </x:c>
      <x:c r="K33" s="73" t="n">
        <x:v>4.4</x:v>
      </x:c>
      <x:c r="L33" s="73" t="n">
        <x:v>4.8</x:v>
      </x:c>
      <x:c r="M33" s="64" t="n">
        <x:f>ABS(K33-J33)</x:f>
        <x:v>0.30768799999999974</x:v>
      </x:c>
      <x:c r="N33" s="64" t="n">
        <x:f>ABS(L33-J33)</x:f>
        <x:v>0.09231199999999973</x:v>
      </x:c>
      <x:c r="O33" s="32"/>
      <x:c r="P33" s="32"/>
      <x:c r="Q33" s="32"/>
      <x:c r="R33" s="34"/>
      <x:c r="S33" s="34"/>
      <x:c r="T33" t="str">
        <x:v>IIVI_FY2021_10K;IIVI_FY2022_10K;COHR_FY2023_10K;COHR_FY2024_10K</x:v>
      </x:c>
      <x:c r="U33" t="str">
        <x:v>并购概率、合并时点、债务利息、摊销、重组、良率和客户设计变更必须单列。</x:v>
      </x:c>
      <x:c r="V33" t="str">
        <x:v>80%</x:v>
      </x:c>
      <x:c r="W33" s="32" t="n">
        <x:f>ABS(K33-J33)/ABS(J33)</x:f>
        <x:v>0.06535862189677814</x:v>
      </x:c>
      <x:c r="X33" s="32" t="n">
        <x:f>ABS(L33-J33)/ABS(J33)</x:f>
        <x:v>0.019608776112605534</x:v>
      </x:c>
    </x:row>
    <x:row r="34" ht="25" customHeight="1">
      <x:c r="A34" t="str">
        <x:v>校准</x:v>
      </x:c>
      <x:c r="B34" t="str">
        <x:v>COHR@FY2021</x:v>
      </x:c>
      <x:c r="C34" t="str">
        <x:v>II-VI / Coherent</x:v>
      </x:c>
      <x:c r="D34" t="str">
        <x:v>optics-materials-ma-integration</x:v>
      </x:c>
      <x:c r="E34" t="str">
        <x:v>FY2021</x:v>
      </x:c>
      <x:c r="F34" t="str">
        <x:v>FY2024</x:v>
      </x:c>
      <x:c r="G34" t="n">
        <x:v>3</x:v>
      </x:c>
      <x:c r="H34" t="str">
        <x:v>net_income</x:v>
      </x:c>
      <x:c r="I34" t="str">
        <x:v>USD bn</x:v>
      </x:c>
      <x:c r="J34" s="69" t="n">
        <x:v>-0.156154</x:v>
      </x:c>
      <x:c r="K34" s="73" t="n">
        <x:v>0.55</x:v>
      </x:c>
      <x:c r="L34" s="73" t="n">
        <x:v>-0.1</x:v>
      </x:c>
      <x:c r="M34" s="64" t="n">
        <x:f>ABS(K34-J34)</x:f>
        <x:v>0.7061540000000001</x:v>
      </x:c>
      <x:c r="N34" s="64" t="n">
        <x:f>ABS(L34-J34)</x:f>
        <x:v>0.05615399999999998</x:v>
      </x:c>
      <x:c r="O34" s="32" t="n">
        <x:f>J34/J33</x:f>
        <x:v>-0.03316999767189329</x:v>
      </x:c>
      <x:c r="P34" s="32" t="n">
        <x:f>K34/K33</x:f>
        <x:v>0.125</x:v>
      </x:c>
      <x:c r="Q34" s="32" t="n">
        <x:f>L34/L33</x:f>
        <x:v>-0.020833333333333336</x:v>
      </x:c>
      <x:c r="R34" s="34" t="n">
        <x:f>ABS(P34-O34)*100</x:f>
        <x:v>15.81699976718933</x:v>
      </x:c>
      <x:c r="S34" s="34" t="n">
        <x:f>ABS(Q34-O34)*100</x:f>
        <x:v>1.2336664338559955</x:v>
      </x:c>
      <x:c r="T34" t="str">
        <x:v>IIVI_FY2021_10K;IIVI_FY2022_10K;COHR_FY2023_10K;COHR_FY2024_10K</x:v>
      </x:c>
      <x:c r="U34" t="str">
        <x:v>并购概率、合并时点、债务利息、摊销、重组、良率和客户设计变更必须单列。</x:v>
      </x:c>
      <x:c r="V34" t="str">
        <x:v>80%</x:v>
      </x:c>
      <x:c r="W34" s="32"/>
      <x:c r="X34" s="32"/>
    </x:row>
    <x:row r="35" ht="25" customHeight="1">
      <x:c r="A35" t="str">
        <x:v>伪留出</x:v>
      </x:c>
      <x:c r="B35" t="str">
        <x:v>ANET@FY2020</x:v>
      </x:c>
      <x:c r="C35" t="str">
        <x:v>Arista Networks</x:v>
      </x:c>
      <x:c r="D35" t="str">
        <x:v>networking-customer-concentration</x:v>
      </x:c>
      <x:c r="E35" t="str">
        <x:v>FY2020</x:v>
      </x:c>
      <x:c r="F35" t="str">
        <x:v>FY2021</x:v>
      </x:c>
      <x:c r="G35" t="n">
        <x:v>1</x:v>
      </x:c>
      <x:c r="H35" t="str">
        <x:v>营业收入</x:v>
      </x:c>
      <x:c r="I35" t="str">
        <x:v>USD bn</x:v>
      </x:c>
      <x:c r="J35" s="69" t="n">
        <x:v>2.948037</x:v>
      </x:c>
      <x:c r="K35" s="73" t="n">
        <x:v>2.6</x:v>
      </x:c>
      <x:c r="L35" s="73" t="n">
        <x:v>2.9</x:v>
      </x:c>
      <x:c r="M35" s="64" t="n">
        <x:f>ABS(K35-J35)</x:f>
        <x:v>0.3480369999999997</x:v>
      </x:c>
      <x:c r="N35" s="64" t="n">
        <x:f>ABS(L35-J35)</x:f>
        <x:v>0.048036999999999885</x:v>
      </x:c>
      <x:c r="O35" s="32"/>
      <x:c r="P35" s="32"/>
      <x:c r="Q35" s="32"/>
      <x:c r="R35" s="34"/>
      <x:c r="S35" s="34"/>
      <x:c r="T35" t="str">
        <x:v>ANET_FY2020_RESULTS;ANET_FY2022_10K;ANET_FY2024_10K</x:v>
      </x:c>
      <x:c r="U35" t="str">
        <x:v>客户CapEx、云巨头集中度、供应约束、RPO/backlog和产品端口速率升级共同决定收入。</x:v>
      </x:c>
      <x:c r="V35" t="str">
        <x:v>80%</x:v>
      </x:c>
      <x:c r="W35" s="32" t="n">
        <x:f>ABS(K35-J35)/ABS(J35)</x:f>
        <x:v>0.11805720213145213</x:v>
      </x:c>
      <x:c r="X35" s="32" t="n">
        <x:f>ABS(L35-J35)/ABS(J35)</x:f>
        <x:v>0.016294571608158205</x:v>
      </x:c>
    </x:row>
    <x:row r="36" ht="25" customHeight="1">
      <x:c r="A36" t="str">
        <x:v>伪留出</x:v>
      </x:c>
      <x:c r="B36" t="str">
        <x:v>ANET@FY2020</x:v>
      </x:c>
      <x:c r="C36" t="str">
        <x:v>Arista Networks</x:v>
      </x:c>
      <x:c r="D36" t="str">
        <x:v>networking-customer-concentration</x:v>
      </x:c>
      <x:c r="E36" t="str">
        <x:v>FY2020</x:v>
      </x:c>
      <x:c r="F36" t="str">
        <x:v>FY2021</x:v>
      </x:c>
      <x:c r="G36" t="n">
        <x:v>1</x:v>
      </x:c>
      <x:c r="H36" t="str">
        <x:v>net_income</x:v>
      </x:c>
      <x:c r="I36" t="str">
        <x:v>USD bn</x:v>
      </x:c>
      <x:c r="J36" s="69" t="n">
        <x:v>0.840854</x:v>
      </x:c>
      <x:c r="K36" s="73" t="n">
        <x:v>0.7</x:v>
      </x:c>
      <x:c r="L36" s="73" t="n">
        <x:v>0.82</x:v>
      </x:c>
      <x:c r="M36" s="64" t="n">
        <x:f>ABS(K36-J36)</x:f>
        <x:v>0.14085400000000003</x:v>
      </x:c>
      <x:c r="N36" s="64" t="n">
        <x:f>ABS(L36-J36)</x:f>
        <x:v>0.02085400000000004</x:v>
      </x:c>
      <x:c r="O36" s="32" t="n">
        <x:f>J36/J35</x:f>
        <x:v>0.28522504975344615</x:v>
      </x:c>
      <x:c r="P36" s="32" t="n">
        <x:f>K36/K35</x:f>
        <x:v>0.2692307692307692</x:v>
      </x:c>
      <x:c r="Q36" s="32" t="n">
        <x:f>L36/L35</x:f>
        <x:v>0.2827586206896552</x:v>
      </x:c>
      <x:c r="R36" s="34" t="n">
        <x:f>ABS(P36-O36)*100</x:f>
        <x:v>1.599428052267693</x:v>
      </x:c>
      <x:c r="S36" s="34" t="n">
        <x:f>ABS(Q36-O36)*100</x:f>
        <x:v>0.24664290637909647</x:v>
      </x:c>
      <x:c r="T36" t="str">
        <x:v>ANET_FY2020_RESULTS;ANET_FY2022_10K;ANET_FY2024_10K</x:v>
      </x:c>
      <x:c r="U36" t="str">
        <x:v>客户CapEx、云巨头集中度、供应约束、RPO/backlog和产品端口速率升级共同决定收入。</x:v>
      </x:c>
      <x:c r="V36" t="str">
        <x:v>80%</x:v>
      </x:c>
      <x:c r="W36" s="32"/>
      <x:c r="X36" s="32"/>
    </x:row>
    <x:row r="37" ht="25" customHeight="1">
      <x:c r="A37" t="str">
        <x:v>伪留出</x:v>
      </x:c>
      <x:c r="B37" t="str">
        <x:v>ANET@FY2020</x:v>
      </x:c>
      <x:c r="C37" t="str">
        <x:v>Arista Networks</x:v>
      </x:c>
      <x:c r="D37" t="str">
        <x:v>networking-customer-concentration</x:v>
      </x:c>
      <x:c r="E37" t="str">
        <x:v>FY2020</x:v>
      </x:c>
      <x:c r="F37" t="str">
        <x:v>FY2022</x:v>
      </x:c>
      <x:c r="G37" t="n">
        <x:v>2</x:v>
      </x:c>
      <x:c r="H37" t="str">
        <x:v>营业收入</x:v>
      </x:c>
      <x:c r="I37" t="str">
        <x:v>USD bn</x:v>
      </x:c>
      <x:c r="J37" s="69" t="n">
        <x:v>4.38131</x:v>
      </x:c>
      <x:c r="K37" s="73" t="n">
        <x:v>2.9</x:v>
      </x:c>
      <x:c r="L37" s="73" t="n">
        <x:v>4.1</x:v>
      </x:c>
      <x:c r="M37" s="64" t="n">
        <x:f>ABS(K37-J37)</x:f>
        <x:v>1.4813100000000001</x:v>
      </x:c>
      <x:c r="N37" s="64" t="n">
        <x:f>ABS(L37-J37)</x:f>
        <x:v>0.2813100000000004</x:v>
      </x:c>
      <x:c r="O37" s="32"/>
      <x:c r="P37" s="32"/>
      <x:c r="Q37" s="32"/>
      <x:c r="R37" s="34"/>
      <x:c r="S37" s="34"/>
      <x:c r="T37" t="str">
        <x:v>ANET_FY2020_RESULTS;ANET_FY2022_10K;ANET_FY2024_10K</x:v>
      </x:c>
      <x:c r="U37" t="str">
        <x:v>客户CapEx、云巨头集中度、供应约束、RPO/backlog和产品端口速率升级共同决定收入。</x:v>
      </x:c>
      <x:c r="V37" t="str">
        <x:v>80%</x:v>
      </x:c>
      <x:c r="W37" s="32" t="n">
        <x:f>ABS(K37-J37)/ABS(J37)</x:f>
        <x:v>0.33809750964894064</x:v>
      </x:c>
      <x:c r="X37" s="32" t="n">
        <x:f>ABS(L37-J37)/ABS(J37)</x:f>
        <x:v>0.06420682398643338</x:v>
      </x:c>
    </x:row>
    <x:row r="38" ht="25" customHeight="1">
      <x:c r="A38" t="str">
        <x:v>伪留出</x:v>
      </x:c>
      <x:c r="B38" t="str">
        <x:v>ANET@FY2020</x:v>
      </x:c>
      <x:c r="C38" t="str">
        <x:v>Arista Networks</x:v>
      </x:c>
      <x:c r="D38" t="str">
        <x:v>networking-customer-concentration</x:v>
      </x:c>
      <x:c r="E38" t="str">
        <x:v>FY2020</x:v>
      </x:c>
      <x:c r="F38" t="str">
        <x:v>FY2022</x:v>
      </x:c>
      <x:c r="G38" t="n">
        <x:v>2</x:v>
      </x:c>
      <x:c r="H38" t="str">
        <x:v>net_income</x:v>
      </x:c>
      <x:c r="I38" t="str">
        <x:v>USD bn</x:v>
      </x:c>
      <x:c r="J38" s="69" t="n">
        <x:v>1.352446</x:v>
      </x:c>
      <x:c r="K38" s="73" t="n">
        <x:v>0.78</x:v>
      </x:c>
      <x:c r="L38" s="73" t="n">
        <x:v>1.25</x:v>
      </x:c>
      <x:c r="M38" s="64" t="n">
        <x:f>ABS(K38-J38)</x:f>
        <x:v>0.572446</x:v>
      </x:c>
      <x:c r="N38" s="64" t="n">
        <x:f>ABS(L38-J38)</x:f>
        <x:v>0.10244600000000004</x:v>
      </x:c>
      <x:c r="O38" s="32" t="n">
        <x:f>J38/J37</x:f>
        <x:v>0.30868530188459614</x:v>
      </x:c>
      <x:c r="P38" s="32" t="n">
        <x:f>K38/K37</x:f>
        <x:v>0.26896551724137935</x:v>
      </x:c>
      <x:c r="Q38" s="32" t="n">
        <x:f>L38/L37</x:f>
        <x:v>0.30487804878048785</x:v>
      </x:c>
      <x:c r="R38" s="34" t="n">
        <x:f>ABS(P38-O38)*100</x:f>
        <x:v>3.9719784643216793</x:v>
      </x:c>
      <x:c r="S38" s="34" t="n">
        <x:f>ABS(Q38-O38)*100</x:f>
        <x:v>0.3807253104108288</x:v>
      </x:c>
      <x:c r="T38" t="str">
        <x:v>ANET_FY2020_RESULTS;ANET_FY2022_10K;ANET_FY2024_10K</x:v>
      </x:c>
      <x:c r="U38" t="str">
        <x:v>客户CapEx、云巨头集中度、供应约束、RPO/backlog和产品端口速率升级共同决定收入。</x:v>
      </x:c>
      <x:c r="V38" t="str">
        <x:v>80%</x:v>
      </x:c>
      <x:c r="W38" s="32"/>
      <x:c r="X38" s="32"/>
    </x:row>
    <x:row r="39" ht="25" customHeight="1">
      <x:c r="A39" t="str">
        <x:v>伪留出</x:v>
      </x:c>
      <x:c r="B39" t="str">
        <x:v>ANET@FY2020</x:v>
      </x:c>
      <x:c r="C39" t="str">
        <x:v>Arista Networks</x:v>
      </x:c>
      <x:c r="D39" t="str">
        <x:v>networking-customer-concentration</x:v>
      </x:c>
      <x:c r="E39" t="str">
        <x:v>FY2020</x:v>
      </x:c>
      <x:c r="F39" t="str">
        <x:v>FY2023</x:v>
      </x:c>
      <x:c r="G39" t="n">
        <x:v>3</x:v>
      </x:c>
      <x:c r="H39" t="str">
        <x:v>营业收入</x:v>
      </x:c>
      <x:c r="I39" t="str">
        <x:v>USD bn</x:v>
      </x:c>
      <x:c r="J39" s="69" t="n">
        <x:v>5.860168</x:v>
      </x:c>
      <x:c r="K39" s="73" t="n">
        <x:v>3.3</x:v>
      </x:c>
      <x:c r="L39" s="73" t="n">
        <x:v>5.3</x:v>
      </x:c>
      <x:c r="M39" s="64" t="n">
        <x:f>ABS(K39-J39)</x:f>
        <x:v>2.560168</x:v>
      </x:c>
      <x:c r="N39" s="64" t="n">
        <x:f>ABS(L39-J39)</x:f>
        <x:v>0.560168</x:v>
      </x:c>
      <x:c r="O39" s="32"/>
      <x:c r="P39" s="32"/>
      <x:c r="Q39" s="32"/>
      <x:c r="R39" s="34"/>
      <x:c r="S39" s="34"/>
      <x:c r="T39" t="str">
        <x:v>ANET_FY2020_RESULTS;ANET_FY2022_10K;ANET_FY2024_10K</x:v>
      </x:c>
      <x:c r="U39" t="str">
        <x:v>客户CapEx、云巨头集中度、供应约束、RPO/backlog和产品端口速率升级共同决定收入。</x:v>
      </x:c>
      <x:c r="V39" t="str">
        <x:v>80%</x:v>
      </x:c>
      <x:c r="W39" s="32" t="n">
        <x:f>ABS(K39-J39)/ABS(J39)</x:f>
        <x:v>0.436876212422579</x:v>
      </x:c>
      <x:c r="X39" s="32" t="n">
        <x:f>ABS(L39-J39)/ABS(J39)</x:f>
        <x:v>0.09558906843626326</x:v>
      </x:c>
    </x:row>
    <x:row r="40" ht="25" customHeight="1">
      <x:c r="A40" t="str">
        <x:v>伪留出</x:v>
      </x:c>
      <x:c r="B40" t="str">
        <x:v>ANET@FY2020</x:v>
      </x:c>
      <x:c r="C40" t="str">
        <x:v>Arista Networks</x:v>
      </x:c>
      <x:c r="D40" t="str">
        <x:v>networking-customer-concentration</x:v>
      </x:c>
      <x:c r="E40" t="str">
        <x:v>FY2020</x:v>
      </x:c>
      <x:c r="F40" t="str">
        <x:v>FY2023</x:v>
      </x:c>
      <x:c r="G40" t="n">
        <x:v>3</x:v>
      </x:c>
      <x:c r="H40" t="str">
        <x:v>net_income</x:v>
      </x:c>
      <x:c r="I40" t="str">
        <x:v>USD bn</x:v>
      </x:c>
      <x:c r="J40" s="69" t="n">
        <x:v>2.087321</x:v>
      </x:c>
      <x:c r="K40" s="73" t="n">
        <x:v>0.9</x:v>
      </x:c>
      <x:c r="L40" s="73" t="n">
        <x:v>1.8</x:v>
      </x:c>
      <x:c r="M40" s="64" t="n">
        <x:f>ABS(K40-J40)</x:f>
        <x:v>1.1873210000000003</x:v>
      </x:c>
      <x:c r="N40" s="64" t="n">
        <x:f>ABS(L40-J40)</x:f>
        <x:v>0.28732100000000016</x:v>
      </x:c>
      <x:c r="O40" s="32" t="n">
        <x:f>J40/J39</x:f>
        <x:v>0.3561879113363303</x:v>
      </x:c>
      <x:c r="P40" s="32" t="n">
        <x:f>K40/K39</x:f>
        <x:v>0.27272727272727276</x:v>
      </x:c>
      <x:c r="Q40" s="32" t="n">
        <x:f>L40/L39</x:f>
        <x:v>0.339622641509434</x:v>
      </x:c>
      <x:c r="R40" s="34" t="n">
        <x:f>ABS(P40-O40)*100</x:f>
        <x:v>8.346063860905756</x:v>
      </x:c>
      <x:c r="S40" s="34" t="n">
        <x:f>ABS(Q40-O40)*100</x:f>
        <x:v>1.6565269826896323</x:v>
      </x:c>
      <x:c r="T40" t="str">
        <x:v>ANET_FY2020_RESULTS;ANET_FY2022_10K;ANET_FY2024_10K</x:v>
      </x:c>
      <x:c r="U40" t="str">
        <x:v>客户CapEx、云巨头集中度、供应约束、RPO/backlog和产品端口速率升级共同决定收入。</x:v>
      </x:c>
      <x:c r="V40" t="str">
        <x:v>80%</x:v>
      </x:c>
      <x:c r="W40" s="32"/>
      <x:c r="X40" s="32"/>
    </x:row>
    <x:row r="41" ht="25" customHeight="1">
      <x:c r="A41" t="str">
        <x:v>伪留出</x:v>
      </x:c>
      <x:c r="B41" t="str">
        <x:v>SMCI@FY2020</x:v>
      </x:c>
      <x:c r="C41" t="str">
        <x:v>Super Micro Computer</x:v>
      </x:c>
      <x:c r="D41" t="str">
        <x:v>server-rack-bom-pass-through</x:v>
      </x:c>
      <x:c r="E41" t="str">
        <x:v>FY2020</x:v>
      </x:c>
      <x:c r="F41" t="str">
        <x:v>FY2021</x:v>
      </x:c>
      <x:c r="G41" t="n">
        <x:v>1</x:v>
      </x:c>
      <x:c r="H41" t="str">
        <x:v>营业收入</x:v>
      </x:c>
      <x:c r="I41" t="str">
        <x:v>USD bn</x:v>
      </x:c>
      <x:c r="J41" s="69" t="n">
        <x:v>3.557422</x:v>
      </x:c>
      <x:c r="K41" s="73" t="n">
        <x:v>3.6</x:v>
      </x:c>
      <x:c r="L41" s="73" t="n">
        <x:v>3.55</x:v>
      </x:c>
      <x:c r="M41" s="64" t="n">
        <x:f>ABS(K41-J41)</x:f>
        <x:v>0.04257800000000023</x:v>
      </x:c>
      <x:c r="N41" s="64" t="n">
        <x:f>ABS(L41-J41)</x:f>
        <x:v>0.00742200000000004</x:v>
      </x:c>
      <x:c r="O41" s="32"/>
      <x:c r="P41" s="32"/>
      <x:c r="Q41" s="32"/>
      <x:c r="R41" s="34"/>
      <x:c r="S41" s="34"/>
      <x:c r="T41" t="str">
        <x:v>SMCI_FY2022_10K;SMCI_FY2023_10K;SMCI_FY2024_10K</x:v>
      </x:c>
      <x:c r="U41" t="str">
        <x:v>收入=系统台数×BOM/ASP，但GPU等高价值部件的pass-through会推高收入、压低毛利，并占用营运资金。</x:v>
      </x:c>
      <x:c r="V41" t="str">
        <x:v>80%</x:v>
      </x:c>
      <x:c r="W41" s="32" t="n">
        <x:f>ABS(K41-J41)/ABS(J41)</x:f>
        <x:v>0.011968779638738453</x:v>
      </x:c>
      <x:c r="X41" s="32" t="n">
        <x:f>ABS(L41-J41)/ABS(J41)</x:f>
        <x:v>0.0020863423006885437</x:v>
      </x:c>
    </x:row>
    <x:row r="42" ht="25" customHeight="1">
      <x:c r="A42" t="str">
        <x:v>伪留出</x:v>
      </x:c>
      <x:c r="B42" t="str">
        <x:v>SMCI@FY2020</x:v>
      </x:c>
      <x:c r="C42" t="str">
        <x:v>Super Micro Computer</x:v>
      </x:c>
      <x:c r="D42" t="str">
        <x:v>server-rack-bom-pass-through</x:v>
      </x:c>
      <x:c r="E42" t="str">
        <x:v>FY2020</x:v>
      </x:c>
      <x:c r="F42" t="str">
        <x:v>FY2021</x:v>
      </x:c>
      <x:c r="G42" t="n">
        <x:v>1</x:v>
      </x:c>
      <x:c r="H42" t="str">
        <x:v>net_income</x:v>
      </x:c>
      <x:c r="I42" t="str">
        <x:v>USD bn</x:v>
      </x:c>
      <x:c r="J42" s="69" t="n">
        <x:v>0.1119</x:v>
      </x:c>
      <x:c r="K42" s="73" t="n">
        <x:v>0.1</x:v>
      </x:c>
      <x:c r="L42" s="73" t="n">
        <x:v>0.11</x:v>
      </x:c>
      <x:c r="M42" s="64" t="n">
        <x:f>ABS(K42-J42)</x:f>
        <x:v>0.011899999999999994</x:v>
      </x:c>
      <x:c r="N42" s="64" t="n">
        <x:f>ABS(L42-J42)</x:f>
        <x:v>0.001899999999999999</x:v>
      </x:c>
      <x:c r="O42" s="32" t="n">
        <x:f>J42/J41</x:f>
        <x:v>0.031455362900437454</x:v>
      </x:c>
      <x:c r="P42" s="32" t="n">
        <x:f>K42/K41</x:f>
        <x:v>0.02777777777777778</x:v>
      </x:c>
      <x:c r="Q42" s="32" t="n">
        <x:f>L42/L41</x:f>
        <x:v>0.030985915492957747</x:v>
      </x:c>
      <x:c r="R42" s="34" t="n">
        <x:f>ABS(P42-O42)*100</x:f>
        <x:v>0.36775851226596745</x:v>
      </x:c>
      <x:c r="S42" s="34" t="n">
        <x:f>ABS(Q42-O42)*100</x:f>
        <x:v>0.04694474074797075</x:v>
      </x:c>
      <x:c r="T42" t="str">
        <x:v>SMCI_FY2022_10K;SMCI_FY2023_10K;SMCI_FY2024_10K</x:v>
      </x:c>
      <x:c r="U42" t="str">
        <x:v>收入=系统台数×BOM/ASP，但GPU等高价值部件的pass-through会推高收入、压低毛利，并占用营运资金。</x:v>
      </x:c>
      <x:c r="V42" t="str">
        <x:v>80%</x:v>
      </x:c>
      <x:c r="W42" s="32"/>
      <x:c r="X42" s="32"/>
    </x:row>
    <x:row r="43" ht="25" customHeight="1">
      <x:c r="A43" t="str">
        <x:v>伪留出</x:v>
      </x:c>
      <x:c r="B43" t="str">
        <x:v>SMCI@FY2020</x:v>
      </x:c>
      <x:c r="C43" t="str">
        <x:v>Super Micro Computer</x:v>
      </x:c>
      <x:c r="D43" t="str">
        <x:v>server-rack-bom-pass-through</x:v>
      </x:c>
      <x:c r="E43" t="str">
        <x:v>FY2020</x:v>
      </x:c>
      <x:c r="F43" t="str">
        <x:v>FY2022</x:v>
      </x:c>
      <x:c r="G43" t="n">
        <x:v>2</x:v>
      </x:c>
      <x:c r="H43" t="str">
        <x:v>营业收入</x:v>
      </x:c>
      <x:c r="I43" t="str">
        <x:v>USD bn</x:v>
      </x:c>
      <x:c r="J43" s="69" t="n">
        <x:v>5.196099</x:v>
      </x:c>
      <x:c r="K43" s="73" t="n">
        <x:v>4</x:v>
      </x:c>
      <x:c r="L43" s="73" t="n">
        <x:v>5</x:v>
      </x:c>
      <x:c r="M43" s="64" t="n">
        <x:f>ABS(K43-J43)</x:f>
        <x:v>1.1960990000000002</x:v>
      </x:c>
      <x:c r="N43" s="64" t="n">
        <x:f>ABS(L43-J43)</x:f>
        <x:v>0.19609900000000025</x:v>
      </x:c>
      <x:c r="O43" s="32"/>
      <x:c r="P43" s="32"/>
      <x:c r="Q43" s="32"/>
      <x:c r="R43" s="34"/>
      <x:c r="S43" s="34"/>
      <x:c r="T43" t="str">
        <x:v>SMCI_FY2022_10K;SMCI_FY2023_10K;SMCI_FY2024_10K</x:v>
      </x:c>
      <x:c r="U43" t="str">
        <x:v>收入=系统台数×BOM/ASP，但GPU等高价值部件的pass-through会推高收入、压低毛利，并占用营运资金。</x:v>
      </x:c>
      <x:c r="V43" t="str">
        <x:v>80%</x:v>
      </x:c>
      <x:c r="W43" s="32" t="n">
        <x:f>ABS(K43-J43)/ABS(J43)</x:f>
        <x:v>0.23019172652407127</x:v>
      </x:c>
      <x:c r="X43" s="32" t="n">
        <x:f>ABS(L43-J43)/ABS(J43)</x:f>
        <x:v>0.03773965815508908</x:v>
      </x:c>
    </x:row>
    <x:row r="44" ht="25" customHeight="1">
      <x:c r="A44" t="str">
        <x:v>伪留出</x:v>
      </x:c>
      <x:c r="B44" t="str">
        <x:v>SMCI@FY2020</x:v>
      </x:c>
      <x:c r="C44" t="str">
        <x:v>Super Micro Computer</x:v>
      </x:c>
      <x:c r="D44" t="str">
        <x:v>server-rack-bom-pass-through</x:v>
      </x:c>
      <x:c r="E44" t="str">
        <x:v>FY2020</x:v>
      </x:c>
      <x:c r="F44" t="str">
        <x:v>FY2022</x:v>
      </x:c>
      <x:c r="G44" t="n">
        <x:v>2</x:v>
      </x:c>
      <x:c r="H44" t="str">
        <x:v>net_income</x:v>
      </x:c>
      <x:c r="I44" t="str">
        <x:v>USD bn</x:v>
      </x:c>
      <x:c r="J44" s="69" t="n">
        <x:v>0.285163</x:v>
      </x:c>
      <x:c r="K44" s="73" t="n">
        <x:v>0.13</x:v>
      </x:c>
      <x:c r="L44" s="73" t="n">
        <x:v>0.26</x:v>
      </x:c>
      <x:c r="M44" s="64" t="n">
        <x:f>ABS(K44-J44)</x:f>
        <x:v>0.155163</x:v>
      </x:c>
      <x:c r="N44" s="64" t="n">
        <x:f>ABS(L44-J44)</x:f>
        <x:v>0.02516299999999999</x:v>
      </x:c>
      <x:c r="O44" s="32" t="n">
        <x:f>J44/J43</x:f>
        <x:v>0.054880209172304066</x:v>
      </x:c>
      <x:c r="P44" s="32" t="n">
        <x:f>K44/K43</x:f>
        <x:v>0.0325</x:v>
      </x:c>
      <x:c r="Q44" s="32" t="n">
        <x:f>L44/L43</x:f>
        <x:v>0.052000000000000005</x:v>
      </x:c>
      <x:c r="R44" s="34" t="n">
        <x:f>ABS(P44-O44)*100</x:f>
        <x:v>2.2380209172304064</x:v>
      </x:c>
      <x:c r="S44" s="34" t="n">
        <x:f>ABS(Q44-O44)*100</x:f>
        <x:v>0.2880209172304061</x:v>
      </x:c>
      <x:c r="T44" t="str">
        <x:v>SMCI_FY2022_10K;SMCI_FY2023_10K;SMCI_FY2024_10K</x:v>
      </x:c>
      <x:c r="U44" t="str">
        <x:v>收入=系统台数×BOM/ASP，但GPU等高价值部件的pass-through会推高收入、压低毛利，并占用营运资金。</x:v>
      </x:c>
      <x:c r="V44" t="str">
        <x:v>80%</x:v>
      </x:c>
      <x:c r="W44" s="32"/>
      <x:c r="X44" s="32"/>
    </x:row>
    <x:row r="45" ht="25" customHeight="1">
      <x:c r="A45" t="str">
        <x:v>伪留出</x:v>
      </x:c>
      <x:c r="B45" t="str">
        <x:v>SMCI@FY2020</x:v>
      </x:c>
      <x:c r="C45" t="str">
        <x:v>Super Micro Computer</x:v>
      </x:c>
      <x:c r="D45" t="str">
        <x:v>server-rack-bom-pass-through</x:v>
      </x:c>
      <x:c r="E45" t="str">
        <x:v>FY2020</x:v>
      </x:c>
      <x:c r="F45" t="str">
        <x:v>FY2023</x:v>
      </x:c>
      <x:c r="G45" t="n">
        <x:v>3</x:v>
      </x:c>
      <x:c r="H45" t="str">
        <x:v>营业收入</x:v>
      </x:c>
      <x:c r="I45" t="str">
        <x:v>USD bn</x:v>
      </x:c>
      <x:c r="J45" s="69" t="n">
        <x:v>7.123482</x:v>
      </x:c>
      <x:c r="K45" s="73" t="n">
        <x:v>4.5</x:v>
      </x:c>
      <x:c r="L45" s="73" t="n">
        <x:v>6.7</x:v>
      </x:c>
      <x:c r="M45" s="64" t="n">
        <x:f>ABS(K45-J45)</x:f>
        <x:v>2.623482</x:v>
      </x:c>
      <x:c r="N45" s="64" t="n">
        <x:f>ABS(L45-J45)</x:f>
        <x:v>0.4234819999999999</x:v>
      </x:c>
      <x:c r="O45" s="32"/>
      <x:c r="P45" s="32"/>
      <x:c r="Q45" s="32"/>
      <x:c r="R45" s="34"/>
      <x:c r="S45" s="34"/>
      <x:c r="T45" t="str">
        <x:v>SMCI_FY2022_10K;SMCI_FY2023_10K;SMCI_FY2024_10K</x:v>
      </x:c>
      <x:c r="U45" t="str">
        <x:v>收入=系统台数×BOM/ASP，但GPU等高价值部件的pass-through会推高收入、压低毛利，并占用营运资金。</x:v>
      </x:c>
      <x:c r="V45" t="str">
        <x:v>80%</x:v>
      </x:c>
      <x:c r="W45" s="32" t="n">
        <x:f>ABS(K45-J45)/ABS(J45)</x:f>
        <x:v>0.3682864644004154</x:v>
      </x:c>
      <x:c r="X45" s="32" t="n">
        <x:f>ABS(L45-J45)/ABS(J45)</x:f>
        <x:v>0.059448735885062935</x:v>
      </x:c>
    </x:row>
    <x:row r="46" ht="25" customHeight="1">
      <x:c r="A46" t="str">
        <x:v>伪留出</x:v>
      </x:c>
      <x:c r="B46" t="str">
        <x:v>SMCI@FY2020</x:v>
      </x:c>
      <x:c r="C46" t="str">
        <x:v>Super Micro Computer</x:v>
      </x:c>
      <x:c r="D46" t="str">
        <x:v>server-rack-bom-pass-through</x:v>
      </x:c>
      <x:c r="E46" t="str">
        <x:v>FY2020</x:v>
      </x:c>
      <x:c r="F46" t="str">
        <x:v>FY2023</x:v>
      </x:c>
      <x:c r="G46" t="n">
        <x:v>3</x:v>
      </x:c>
      <x:c r="H46" t="str">
        <x:v>net_income</x:v>
      </x:c>
      <x:c r="I46" t="str">
        <x:v>USD bn</x:v>
      </x:c>
      <x:c r="J46" s="69" t="n">
        <x:v>0.639998</x:v>
      </x:c>
      <x:c r="K46" s="73" t="n">
        <x:v>0.16</x:v>
      </x:c>
      <x:c r="L46" s="73" t="n">
        <x:v>0.52</x:v>
      </x:c>
      <x:c r="M46" s="64" t="n">
        <x:f>ABS(K46-J46)</x:f>
        <x:v>0.4799979999999999</x:v>
      </x:c>
      <x:c r="N46" s="64" t="n">
        <x:f>ABS(L46-J46)</x:f>
        <x:v>0.11999799999999994</x:v>
      </x:c>
      <x:c r="O46" s="32" t="n">
        <x:f>J46/J45</x:f>
        <x:v>0.08984342207925843</x:v>
      </x:c>
      <x:c r="P46" s="32" t="n">
        <x:f>K46/K45</x:f>
        <x:v>0.035555555555555556</x:v>
      </x:c>
      <x:c r="Q46" s="32" t="n">
        <x:f>L46/L45</x:f>
        <x:v>0.07761194029850746</x:v>
      </x:c>
      <x:c r="R46" s="34" t="n">
        <x:f>ABS(P46-O46)*100</x:f>
        <x:v>5.428786652370287</x:v>
      </x:c>
      <x:c r="S46" s="34" t="n">
        <x:f>ABS(Q46-O46)*100</x:f>
        <x:v>1.2231481780750966</x:v>
      </x:c>
      <x:c r="T46" t="str">
        <x:v>SMCI_FY2022_10K;SMCI_FY2023_10K;SMCI_FY2024_10K</x:v>
      </x:c>
      <x:c r="U46" t="str">
        <x:v>收入=系统台数×BOM/ASP，但GPU等高价值部件的pass-through会推高收入、压低毛利，并占用营运资金。</x:v>
      </x:c>
      <x:c r="V46" t="str">
        <x:v>80%</x:v>
      </x:c>
      <x:c r="W46" s="32"/>
      <x:c r="X46" s="32"/>
    </x:row>
    <x:row r="47" ht="25" customHeight="1">
      <x:c r="A47" t="str">
        <x:v>伪留出</x:v>
      </x:c>
      <x:c r="B47" t="str">
        <x:v>AMKR@FY2020</x:v>
      </x:c>
      <x:c r="C47" t="str">
        <x:v>Amkor Technology</x:v>
      </x:c>
      <x:c r="D47" t="str">
        <x:v>osat-advanced-packaging-utilization</x:v>
      </x:c>
      <x:c r="E47" t="str">
        <x:v>FY2020</x:v>
      </x:c>
      <x:c r="F47" t="str">
        <x:v>FY2021</x:v>
      </x:c>
      <x:c r="G47" t="n">
        <x:v>1</x:v>
      </x:c>
      <x:c r="H47" t="str">
        <x:v>营业收入</x:v>
      </x:c>
      <x:c r="I47" t="str">
        <x:v>USD bn</x:v>
      </x:c>
      <x:c r="J47" s="69" t="n">
        <x:v>6.138329</x:v>
      </x:c>
      <x:c r="K47" s="73" t="n">
        <x:v>5.8</x:v>
      </x:c>
      <x:c r="L47" s="73" t="n">
        <x:v>6</x:v>
      </x:c>
      <x:c r="M47" s="64" t="n">
        <x:f>ABS(K47-J47)</x:f>
        <x:v>0.3383289999999999</x:v>
      </x:c>
      <x:c r="N47" s="64" t="n">
        <x:f>ABS(L47-J47)</x:f>
        <x:v>0.1383289999999997</x:v>
      </x:c>
      <x:c r="O47" s="32"/>
      <x:c r="P47" s="32"/>
      <x:c r="Q47" s="32"/>
      <x:c r="R47" s="34"/>
      <x:c r="S47" s="34"/>
      <x:c r="T47" t="str">
        <x:v>AMKR_FY2020_10K;AMKR_FY2021_10K;AMKR_FY2024_10K</x:v>
      </x:c>
      <x:c r="U47" t="str">
        <x:v>先进封装内容量增长不必然提高毛利；材料占比、利用率、折旧、客户集中和无实质backlog必须纳入。</x:v>
      </x:c>
      <x:c r="V47" t="str">
        <x:v>80%</x:v>
      </x:c>
      <x:c r="W47" s="32" t="n">
        <x:f>ABS(K47-J47)/ABS(J47)</x:f>
        <x:v>0.05511744319993273</x:v>
      </x:c>
      <x:c r="X47" s="32" t="n">
        <x:f>ABS(L47-J47)/ABS(J47)</x:f>
        <x:v>0.0225352860688959</x:v>
      </x:c>
    </x:row>
    <x:row r="48" ht="25" customHeight="1">
      <x:c r="A48" t="str">
        <x:v>伪留出</x:v>
      </x:c>
      <x:c r="B48" t="str">
        <x:v>AMKR@FY2020</x:v>
      </x:c>
      <x:c r="C48" t="str">
        <x:v>Amkor Technology</x:v>
      </x:c>
      <x:c r="D48" t="str">
        <x:v>osat-advanced-packaging-utilization</x:v>
      </x:c>
      <x:c r="E48" t="str">
        <x:v>FY2020</x:v>
      </x:c>
      <x:c r="F48" t="str">
        <x:v>FY2021</x:v>
      </x:c>
      <x:c r="G48" t="n">
        <x:v>1</x:v>
      </x:c>
      <x:c r="H48" t="str">
        <x:v>operating_income</x:v>
      </x:c>
      <x:c r="I48" t="str">
        <x:v>USD bn</x:v>
      </x:c>
      <x:c r="J48" s="69" t="n">
        <x:v>0.763433</x:v>
      </x:c>
      <x:c r="K48" s="73" t="n">
        <x:v>0.62</x:v>
      </x:c>
      <x:c r="L48" s="73" t="n">
        <x:v>0.72</x:v>
      </x:c>
      <x:c r="M48" s="64" t="n">
        <x:f>ABS(K48-J48)</x:f>
        <x:v>0.14343300000000003</x:v>
      </x:c>
      <x:c r="N48" s="64" t="n">
        <x:f>ABS(L48-J48)</x:f>
        <x:v>0.043433000000000055</x:v>
      </x:c>
      <x:c r="O48" s="32" t="n">
        <x:f>J48/J47</x:f>
        <x:v>0.1243714698250941</x:v>
      </x:c>
      <x:c r="P48" s="32" t="n">
        <x:f>K48/K47</x:f>
        <x:v>0.10689655172413794</x:v>
      </x:c>
      <x:c r="Q48" s="32" t="n">
        <x:f>L48/L47</x:f>
        <x:v>0.12</x:v>
      </x:c>
      <x:c r="R48" s="34" t="n">
        <x:f>ABS(P48-O48)*100</x:f>
        <x:v>1.7474918100956165</x:v>
      </x:c>
      <x:c r="S48" s="34" t="n">
        <x:f>ABS(Q48-O48)*100</x:f>
        <x:v>0.4371469825094107</x:v>
      </x:c>
      <x:c r="T48" t="str">
        <x:v>AMKR_FY2020_10K;AMKR_FY2021_10K;AMKR_FY2024_10K</x:v>
      </x:c>
      <x:c r="U48" t="str">
        <x:v>先进封装内容量增长不必然提高毛利；材料占比、利用率、折旧、客户集中和无实质backlog必须纳入。</x:v>
      </x:c>
      <x:c r="V48" t="str">
        <x:v>80%</x:v>
      </x:c>
      <x:c r="W48" s="32"/>
      <x:c r="X48" s="32"/>
    </x:row>
    <x:row r="49" ht="25" customHeight="1">
      <x:c r="A49" t="str">
        <x:v>伪留出</x:v>
      </x:c>
      <x:c r="B49" t="str">
        <x:v>AMKR@FY2020</x:v>
      </x:c>
      <x:c r="C49" t="str">
        <x:v>Amkor Technology</x:v>
      </x:c>
      <x:c r="D49" t="str">
        <x:v>osat-advanced-packaging-utilization</x:v>
      </x:c>
      <x:c r="E49" t="str">
        <x:v>FY2020</x:v>
      </x:c>
      <x:c r="F49" t="str">
        <x:v>FY2022</x:v>
      </x:c>
      <x:c r="G49" t="n">
        <x:v>2</x:v>
      </x:c>
      <x:c r="H49" t="str">
        <x:v>营业收入</x:v>
      </x:c>
      <x:c r="I49" t="str">
        <x:v>USD bn</x:v>
      </x:c>
      <x:c r="J49" s="69" t="n">
        <x:v>7.091585</x:v>
      </x:c>
      <x:c r="K49" s="73" t="n">
        <x:v>6.7</x:v>
      </x:c>
      <x:c r="L49" s="73" t="n">
        <x:v>7</x:v>
      </x:c>
      <x:c r="M49" s="64" t="n">
        <x:f>ABS(K49-J49)</x:f>
        <x:v>0.39158500000000007</x:v>
      </x:c>
      <x:c r="N49" s="64" t="n">
        <x:f>ABS(L49-J49)</x:f>
        <x:v>0.09158500000000025</x:v>
      </x:c>
      <x:c r="O49" s="32"/>
      <x:c r="P49" s="32"/>
      <x:c r="Q49" s="32"/>
      <x:c r="R49" s="34"/>
      <x:c r="S49" s="34"/>
      <x:c r="T49" t="str">
        <x:v>AMKR_FY2020_10K;AMKR_FY2021_10K;AMKR_FY2024_10K</x:v>
      </x:c>
      <x:c r="U49" t="str">
        <x:v>先进封装内容量增长不必然提高毛利；材料占比、利用率、折旧、客户集中和无实质backlog必须纳入。</x:v>
      </x:c>
      <x:c r="V49" t="str">
        <x:v>80%</x:v>
      </x:c>
      <x:c r="W49" s="32" t="n">
        <x:f>ABS(K49-J49)/ABS(J49)</x:f>
        <x:v>0.05521826220795493</x:v>
      </x:c>
      <x:c r="X49" s="32" t="n">
        <x:f>ABS(L49-J49)/ABS(J49)</x:f>
        <x:v>0.01291460230681861</x:v>
      </x:c>
    </x:row>
    <x:row r="50" ht="25" customHeight="1">
      <x:c r="A50" t="str">
        <x:v>伪留出</x:v>
      </x:c>
      <x:c r="B50" t="str">
        <x:v>AMKR@FY2020</x:v>
      </x:c>
      <x:c r="C50" t="str">
        <x:v>Amkor Technology</x:v>
      </x:c>
      <x:c r="D50" t="str">
        <x:v>osat-advanced-packaging-utilization</x:v>
      </x:c>
      <x:c r="E50" t="str">
        <x:v>FY2020</x:v>
      </x:c>
      <x:c r="F50" t="str">
        <x:v>FY2022</x:v>
      </x:c>
      <x:c r="G50" t="n">
        <x:v>2</x:v>
      </x:c>
      <x:c r="H50" t="str">
        <x:v>operating_income</x:v>
      </x:c>
      <x:c r="I50" t="str">
        <x:v>USD bn</x:v>
      </x:c>
      <x:c r="J50" s="69" t="n">
        <x:v>0.897186</x:v>
      </x:c>
      <x:c r="K50" s="73" t="n">
        <x:v>0.78</x:v>
      </x:c>
      <x:c r="L50" s="73" t="n">
        <x:v>0.88</x:v>
      </x:c>
      <x:c r="M50" s="64" t="n">
        <x:f>ABS(K50-J50)</x:f>
        <x:v>0.11718600000000001</x:v>
      </x:c>
      <x:c r="N50" s="64" t="n">
        <x:f>ABS(L50-J50)</x:f>
        <x:v>0.017186000000000035</x:v>
      </x:c>
      <x:c r="O50" s="32" t="n">
        <x:f>J50/J49</x:f>
        <x:v>0.12651417137353638</x:v>
      </x:c>
      <x:c r="P50" s="32" t="n">
        <x:f>K50/K49</x:f>
        <x:v>0.11641791044776119</x:v>
      </x:c>
      <x:c r="Q50" s="32" t="n">
        <x:f>L50/L49</x:f>
        <x:v>0.12571428571428572</x:v>
      </x:c>
      <x:c r="R50" s="34" t="n">
        <x:f>ABS(P50-O50)*100</x:f>
        <x:v>1.009626092577519</x:v>
      </x:c>
      <x:c r="S50" s="34" t="n">
        <x:f>ABS(Q50-O50)*100</x:f>
        <x:v>0.07998856592506542</x:v>
      </x:c>
      <x:c r="T50" t="str">
        <x:v>AMKR_FY2020_10K;AMKR_FY2021_10K;AMKR_FY2024_10K</x:v>
      </x:c>
      <x:c r="U50" t="str">
        <x:v>先进封装内容量增长不必然提高毛利；材料占比、利用率、折旧、客户集中和无实质backlog必须纳入。</x:v>
      </x:c>
      <x:c r="V50" t="str">
        <x:v>80%</x:v>
      </x:c>
      <x:c r="W50" s="32"/>
      <x:c r="X50" s="32"/>
    </x:row>
    <x:row r="51" ht="25" customHeight="1">
      <x:c r="A51" t="str">
        <x:v>伪留出</x:v>
      </x:c>
      <x:c r="B51" t="str">
        <x:v>AMKR@FY2020</x:v>
      </x:c>
      <x:c r="C51" t="str">
        <x:v>Amkor Technology</x:v>
      </x:c>
      <x:c r="D51" t="str">
        <x:v>osat-advanced-packaging-utilization</x:v>
      </x:c>
      <x:c r="E51" t="str">
        <x:v>FY2020</x:v>
      </x:c>
      <x:c r="F51" t="str">
        <x:v>FY2023</x:v>
      </x:c>
      <x:c r="G51" t="n">
        <x:v>3</x:v>
      </x:c>
      <x:c r="H51" t="str">
        <x:v>营业收入</x:v>
      </x:c>
      <x:c r="I51" t="str">
        <x:v>USD bn</x:v>
      </x:c>
      <x:c r="J51" s="69" t="n">
        <x:v>6.503065</x:v>
      </x:c>
      <x:c r="K51" s="73" t="n">
        <x:v>7.6</x:v>
      </x:c>
      <x:c r="L51" s="73" t="n">
        <x:v>6.6</x:v>
      </x:c>
      <x:c r="M51" s="64" t="n">
        <x:f>ABS(K51-J51)</x:f>
        <x:v>1.0969349999999993</x:v>
      </x:c>
      <x:c r="N51" s="64" t="n">
        <x:f>ABS(L51-J51)</x:f>
        <x:v>0.09693499999999933</x:v>
      </x:c>
      <x:c r="O51" s="32"/>
      <x:c r="P51" s="32"/>
      <x:c r="Q51" s="32"/>
      <x:c r="R51" s="34"/>
      <x:c r="S51" s="34"/>
      <x:c r="T51" t="str">
        <x:v>AMKR_FY2020_10K;AMKR_FY2021_10K;AMKR_FY2024_10K</x:v>
      </x:c>
      <x:c r="U51" t="str">
        <x:v>先进封装内容量增长不必然提高毛利；材料占比、利用率、折旧、客户集中和无实质backlog必须纳入。</x:v>
      </x:c>
      <x:c r="V51" t="str">
        <x:v>80%</x:v>
      </x:c>
      <x:c r="W51" s="32" t="n">
        <x:f>ABS(K51-J51)/ABS(J51)</x:f>
        <x:v>0.16867969180686326</x:v>
      </x:c>
      <x:c r="X51" s="32" t="n">
        <x:f>ABS(L51-J51)/ABS(J51)</x:f>
        <x:v>0.014906048148065463</x:v>
      </x:c>
    </x:row>
    <x:row r="52" ht="25" customHeight="1">
      <x:c r="A52" t="str">
        <x:v>伪留出</x:v>
      </x:c>
      <x:c r="B52" t="str">
        <x:v>AMKR@FY2020</x:v>
      </x:c>
      <x:c r="C52" t="str">
        <x:v>Amkor Technology</x:v>
      </x:c>
      <x:c r="D52" t="str">
        <x:v>osat-advanced-packaging-utilization</x:v>
      </x:c>
      <x:c r="E52" t="str">
        <x:v>FY2020</x:v>
      </x:c>
      <x:c r="F52" t="str">
        <x:v>FY2023</x:v>
      </x:c>
      <x:c r="G52" t="n">
        <x:v>3</x:v>
      </x:c>
      <x:c r="H52" t="str">
        <x:v>operating_income</x:v>
      </x:c>
      <x:c r="I52" t="str">
        <x:v>USD bn</x:v>
      </x:c>
      <x:c r="J52" s="69" t="n">
        <x:v>0.470287</x:v>
      </x:c>
      <x:c r="K52" s="73" t="n">
        <x:v>0.95</x:v>
      </x:c>
      <x:c r="L52" s="73" t="n">
        <x:v>0.55</x:v>
      </x:c>
      <x:c r="M52" s="64" t="n">
        <x:f>ABS(K52-J52)</x:f>
        <x:v>0.47971299999999995</x:v>
      </x:c>
      <x:c r="N52" s="64" t="n">
        <x:f>ABS(L52-J52)</x:f>
        <x:v>0.07971300000000003</x:v>
      </x:c>
      <x:c r="O52" s="32" t="n">
        <x:f>J52/J51</x:f>
        <x:v>0.07231774555536505</x:v>
      </x:c>
      <x:c r="P52" s="32" t="n">
        <x:f>K52/K51</x:f>
        <x:v>0.125</x:v>
      </x:c>
      <x:c r="Q52" s="32" t="n">
        <x:f>L52/L51</x:f>
        <x:v>0.08333333333333334</x:v>
      </x:c>
      <x:c r="R52" s="34" t="n">
        <x:f>ABS(P52-O52)*100</x:f>
        <x:v>5.2682254444634955</x:v>
      </x:c>
      <x:c r="S52" s="34" t="n">
        <x:f>ABS(Q52-O52)*100</x:f>
        <x:v>1.1015587777968294</x:v>
      </x:c>
      <x:c r="T52" t="str">
        <x:v>AMKR_FY2020_10K;AMKR_FY2021_10K;AMKR_FY2024_10K</x:v>
      </x:c>
      <x:c r="U52" t="str">
        <x:v>先进封装内容量增长不必然提高毛利；材料占比、利用率、折旧、客户集中和无实质backlog必须纳入。</x:v>
      </x:c>
      <x:c r="V52" t="str">
        <x:v>80%</x:v>
      </x:c>
      <x:c r="W52" s="32"/>
      <x:c r="X52" s="32"/>
    </x:row>
    <x:row r="53" ht="25" customHeight="1">
      <x:c r="A53" t="str">
        <x:v>伪留出</x:v>
      </x:c>
      <x:c r="B53" t="str">
        <x:v>ENTG@FY2021</x:v>
      </x:c>
      <x:c r="C53" t="str">
        <x:v>Entegris</x:v>
      </x:c>
      <x:c r="D53" t="str">
        <x:v>semiconductor-materials-content-ma</x:v>
      </x:c>
      <x:c r="E53" t="str">
        <x:v>FY2021</x:v>
      </x:c>
      <x:c r="F53" t="str">
        <x:v>FY2022</x:v>
      </x:c>
      <x:c r="G53" t="n">
        <x:v>1</x:v>
      </x:c>
      <x:c r="H53" t="str">
        <x:v>营业收入</x:v>
      </x:c>
      <x:c r="I53" t="str">
        <x:v>USD bn</x:v>
      </x:c>
      <x:c r="J53" s="69" t="n">
        <x:v>3.282033</x:v>
      </x:c>
      <x:c r="K53" s="73" t="n">
        <x:v>2.7</x:v>
      </x:c>
      <x:c r="L53" s="73" t="n">
        <x:v>3.3</x:v>
      </x:c>
      <x:c r="M53" s="64" t="n">
        <x:f>ABS(K53-J53)</x:f>
        <x:v>0.582033</x:v>
      </x:c>
      <x:c r="N53" s="64" t="n">
        <x:f>ABS(L53-J53)</x:f>
        <x:v>0.017966999999999622</x:v>
      </x:c>
      <x:c r="O53" s="32"/>
      <x:c r="P53" s="32"/>
      <x:c r="Q53" s="32"/>
      <x:c r="R53" s="34"/>
      <x:c r="S53" s="34"/>
      <x:c r="T53" t="str">
        <x:v>ENTG_FY2021_10K;ENTG_FY2024_AR</x:v>
      </x:c>
      <x:c r="U53" t="str">
        <x:v>材料需求=wafer starts×process steps×content per wafer；并购、剥离和摊销必须与organic增长分开。</x:v>
      </x:c>
      <x:c r="V53" t="str">
        <x:v>80%</x:v>
      </x:c>
      <x:c r="W53" s="32" t="n">
        <x:f>ABS(K53-J53)/ABS(J53)</x:f>
        <x:v>0.1773391675220816</x:v>
      </x:c>
      <x:c r="X53" s="32" t="n">
        <x:f>ABS(L53-J53)/ABS(J53)</x:f>
        <x:v>0.00547435080634461</x:v>
      </x:c>
    </x:row>
    <x:row r="54" ht="25" customHeight="1">
      <x:c r="A54" t="str">
        <x:v>伪留出</x:v>
      </x:c>
      <x:c r="B54" t="str">
        <x:v>ENTG@FY2021</x:v>
      </x:c>
      <x:c r="C54" t="str">
        <x:v>Entegris</x:v>
      </x:c>
      <x:c r="D54" t="str">
        <x:v>semiconductor-materials-content-ma</x:v>
      </x:c>
      <x:c r="E54" t="str">
        <x:v>FY2021</x:v>
      </x:c>
      <x:c r="F54" t="str">
        <x:v>FY2022</x:v>
      </x:c>
      <x:c r="G54" t="n">
        <x:v>1</x:v>
      </x:c>
      <x:c r="H54" t="str">
        <x:v>operating_income</x:v>
      </x:c>
      <x:c r="I54" t="str">
        <x:v>USD bn</x:v>
      </x:c>
      <x:c r="J54" s="69" t="n">
        <x:v>0.479981</x:v>
      </x:c>
      <x:c r="K54" s="73" t="n">
        <x:v>0.65</x:v>
      </x:c>
      <x:c r="L54" s="73" t="n">
        <x:v>0.48</x:v>
      </x:c>
      <x:c r="M54" s="64" t="n">
        <x:f>ABS(K54-J54)</x:f>
        <x:v>0.17001900000000003</x:v>
      </x:c>
      <x:c r="N54" s="64" t="n">
        <x:f>ABS(L54-J54)</x:f>
        <x:v>0.000018999999999991246</x:v>
      </x:c>
      <x:c r="O54" s="32" t="n">
        <x:f>J54/J53</x:f>
        <x:v>0.14624502556799399</x:v>
      </x:c>
      <x:c r="P54" s="32" t="n">
        <x:f>K54/K53</x:f>
        <x:v>0.24074074074074073</x:v>
      </x:c>
      <x:c r="Q54" s="32" t="n">
        <x:f>L54/L53</x:f>
        <x:v>0.14545454545454545</x:v>
      </x:c>
      <x:c r="R54" s="34" t="n">
        <x:f>ABS(P54-O54)*100</x:f>
        <x:v>9.449571517274673</x:v>
      </x:c>
      <x:c r="S54" s="34" t="n">
        <x:f>ABS(Q54-O54)*100</x:f>
        <x:v>0.07904801134485384</x:v>
      </x:c>
      <x:c r="T54" t="str">
        <x:v>ENTG_FY2021_10K;ENTG_FY2024_AR</x:v>
      </x:c>
      <x:c r="U54" t="str">
        <x:v>材料需求=wafer starts×process steps×content per wafer；并购、剥离和摊销必须与organic增长分开。</x:v>
      </x:c>
      <x:c r="V54" t="str">
        <x:v>80%</x:v>
      </x:c>
      <x:c r="W54" s="32"/>
      <x:c r="X54" s="32"/>
    </x:row>
    <x:row r="55" ht="25" customHeight="1">
      <x:c r="A55" t="str">
        <x:v>伪留出</x:v>
      </x:c>
      <x:c r="B55" t="str">
        <x:v>ENTG@FY2021</x:v>
      </x:c>
      <x:c r="C55" t="str">
        <x:v>Entegris</x:v>
      </x:c>
      <x:c r="D55" t="str">
        <x:v>semiconductor-materials-content-ma</x:v>
      </x:c>
      <x:c r="E55" t="str">
        <x:v>FY2021</x:v>
      </x:c>
      <x:c r="F55" t="str">
        <x:v>FY2023</x:v>
      </x:c>
      <x:c r="G55" t="n">
        <x:v>2</x:v>
      </x:c>
      <x:c r="H55" t="str">
        <x:v>营业收入</x:v>
      </x:c>
      <x:c r="I55" t="str">
        <x:v>USD bn</x:v>
      </x:c>
      <x:c r="J55" s="69" t="n">
        <x:v>3.523926</x:v>
      </x:c>
      <x:c r="K55" s="73" t="n">
        <x:v>3.2</x:v>
      </x:c>
      <x:c r="L55" s="73" t="n">
        <x:v>3.6</x:v>
      </x:c>
      <x:c r="M55" s="64" t="n">
        <x:f>ABS(K55-J55)</x:f>
        <x:v>0.3239259999999997</x:v>
      </x:c>
      <x:c r="N55" s="64" t="n">
        <x:f>ABS(L55-J55)</x:f>
        <x:v>0.0760740000000002</x:v>
      </x:c>
      <x:c r="O55" s="32"/>
      <x:c r="P55" s="32"/>
      <x:c r="Q55" s="32"/>
      <x:c r="R55" s="34"/>
      <x:c r="S55" s="34"/>
      <x:c r="T55" t="str">
        <x:v>ENTG_FY2021_10K;ENTG_FY2024_AR</x:v>
      </x:c>
      <x:c r="U55" t="str">
        <x:v>材料需求=wafer starts×process steps×content per wafer；并购、剥离和摊销必须与organic增长分开。</x:v>
      </x:c>
      <x:c r="V55" t="str">
        <x:v>80%</x:v>
      </x:c>
      <x:c r="W55" s="32" t="n">
        <x:f>ABS(K55-J55)/ABS(J55)</x:f>
        <x:v>0.09192190755424481</x:v>
      </x:c>
      <x:c r="X55" s="32" t="n">
        <x:f>ABS(L55-J55)/ABS(J55)</x:f>
        <x:v>0.02158785400147455</x:v>
      </x:c>
    </x:row>
    <x:row r="56" ht="25" customHeight="1">
      <x:c r="A56" t="str">
        <x:v>伪留出</x:v>
      </x:c>
      <x:c r="B56" t="str">
        <x:v>ENTG@FY2021</x:v>
      </x:c>
      <x:c r="C56" t="str">
        <x:v>Entegris</x:v>
      </x:c>
      <x:c r="D56" t="str">
        <x:v>semiconductor-materials-content-ma</x:v>
      </x:c>
      <x:c r="E56" t="str">
        <x:v>FY2021</x:v>
      </x:c>
      <x:c r="F56" t="str">
        <x:v>FY2023</x:v>
      </x:c>
      <x:c r="G56" t="n">
        <x:v>2</x:v>
      </x:c>
      <x:c r="H56" t="str">
        <x:v>operating_income</x:v>
      </x:c>
      <x:c r="I56" t="str">
        <x:v>USD bn</x:v>
      </x:c>
      <x:c r="J56" s="69" t="n">
        <x:v>0.499158</x:v>
      </x:c>
      <x:c r="K56" s="73" t="n">
        <x:v>0.75</x:v>
      </x:c>
      <x:c r="L56" s="73" t="n">
        <x:v>0.5</x:v>
      </x:c>
      <x:c r="M56" s="64" t="n">
        <x:f>ABS(K56-J56)</x:f>
        <x:v>0.250842</x:v>
      </x:c>
      <x:c r="N56" s="64" t="n">
        <x:f>ABS(L56-J56)</x:f>
        <x:v>0.0008420000000000094</x:v>
      </x:c>
      <x:c r="O56" s="32" t="n">
        <x:f>J56/J55</x:f>
        <x:v>0.14164826389657445</x:v>
      </x:c>
      <x:c r="P56" s="32" t="n">
        <x:f>K56/K55</x:f>
        <x:v>0.234375</x:v>
      </x:c>
      <x:c r="Q56" s="32" t="n">
        <x:f>L56/L55</x:f>
        <x:v>0.1388888888888889</x:v>
      </x:c>
      <x:c r="R56" s="34" t="n">
        <x:f>ABS(P56-O56)*100</x:f>
        <x:v>9.272673610342554</x:v>
      </x:c>
      <x:c r="S56" s="34" t="n">
        <x:f>ABS(Q56-O56)*100</x:f>
        <x:v>0.2759375007685555</x:v>
      </x:c>
      <x:c r="T56" t="str">
        <x:v>ENTG_FY2021_10K;ENTG_FY2024_AR</x:v>
      </x:c>
      <x:c r="U56" t="str">
        <x:v>材料需求=wafer starts×process steps×content per wafer；并购、剥离和摊销必须与organic增长分开。</x:v>
      </x:c>
      <x:c r="V56" t="str">
        <x:v>80%</x:v>
      </x:c>
      <x:c r="W56" s="32"/>
      <x:c r="X56" s="32"/>
    </x:row>
    <x:row r="57" ht="25" customHeight="1">
      <x:c r="A57" t="str">
        <x:v>伪留出</x:v>
      </x:c>
      <x:c r="B57" t="str">
        <x:v>ENTG@FY2021</x:v>
      </x:c>
      <x:c r="C57" t="str">
        <x:v>Entegris</x:v>
      </x:c>
      <x:c r="D57" t="str">
        <x:v>semiconductor-materials-content-ma</x:v>
      </x:c>
      <x:c r="E57" t="str">
        <x:v>FY2021</x:v>
      </x:c>
      <x:c r="F57" t="str">
        <x:v>FY2024</x:v>
      </x:c>
      <x:c r="G57" t="n">
        <x:v>3</x:v>
      </x:c>
      <x:c r="H57" t="str">
        <x:v>营业收入</x:v>
      </x:c>
      <x:c r="I57" t="str">
        <x:v>USD bn</x:v>
      </x:c>
      <x:c r="J57" s="69" t="n">
        <x:v>3.241208</x:v>
      </x:c>
      <x:c r="K57" s="73" t="n">
        <x:v>3.6</x:v>
      </x:c>
      <x:c r="L57" s="73" t="n">
        <x:v>3.3</x:v>
      </x:c>
      <x:c r="M57" s="64" t="n">
        <x:f>ABS(K57-J57)</x:f>
        <x:v>0.3587920000000002</x:v>
      </x:c>
      <x:c r="N57" s="64" t="n">
        <x:f>ABS(L57-J57)</x:f>
        <x:v>0.058791999999999955</x:v>
      </x:c>
      <x:c r="O57" s="32"/>
      <x:c r="P57" s="32"/>
      <x:c r="Q57" s="32"/>
      <x:c r="R57" s="34"/>
      <x:c r="S57" s="34"/>
      <x:c r="T57" t="str">
        <x:v>ENTG_FY2021_10K;ENTG_FY2024_AR</x:v>
      </x:c>
      <x:c r="U57" t="str">
        <x:v>材料需求=wafer starts×process steps×content per wafer；并购、剥离和摊销必须与organic增长分开。</x:v>
      </x:c>
      <x:c r="V57" t="str">
        <x:v>80%</x:v>
      </x:c>
      <x:c r="W57" s="32" t="n">
        <x:f>ABS(K57-J57)/ABS(J57)</x:f>
        <x:v>0.11069699939035083</x:v>
      </x:c>
      <x:c r="X57" s="32" t="n">
        <x:f>ABS(L57-J57)/ABS(J57)</x:f>
        <x:v>0.018138916107821514</x:v>
      </x:c>
    </x:row>
    <x:row r="58" ht="25" customHeight="1">
      <x:c r="A58" t="str">
        <x:v>伪留出</x:v>
      </x:c>
      <x:c r="B58" t="str">
        <x:v>ENTG@FY2021</x:v>
      </x:c>
      <x:c r="C58" t="str">
        <x:v>Entegris</x:v>
      </x:c>
      <x:c r="D58" t="str">
        <x:v>semiconductor-materials-content-ma</x:v>
      </x:c>
      <x:c r="E58" t="str">
        <x:v>FY2021</x:v>
      </x:c>
      <x:c r="F58" t="str">
        <x:v>FY2024</x:v>
      </x:c>
      <x:c r="G58" t="n">
        <x:v>3</x:v>
      </x:c>
      <x:c r="H58" t="str">
        <x:v>operating_income</x:v>
      </x:c>
      <x:c r="I58" t="str">
        <x:v>USD bn</x:v>
      </x:c>
      <x:c r="J58" s="69" t="n">
        <x:v>0.533922</x:v>
      </x:c>
      <x:c r="K58" s="73" t="n">
        <x:v>0.85</x:v>
      </x:c>
      <x:c r="L58" s="73" t="n">
        <x:v>0.52</x:v>
      </x:c>
      <x:c r="M58" s="64" t="n">
        <x:f>ABS(K58-J58)</x:f>
        <x:v>0.31607799999999997</x:v>
      </x:c>
      <x:c r="N58" s="64" t="n">
        <x:f>ABS(L58-J58)</x:f>
        <x:v>0.01392199999999999</x:v>
      </x:c>
      <x:c r="O58" s="32" t="n">
        <x:f>J58/J57</x:f>
        <x:v>0.16472932314124858</x:v>
      </x:c>
      <x:c r="P58" s="32" t="n">
        <x:f>K58/K57</x:f>
        <x:v>0.2361111111111111</x:v>
      </x:c>
      <x:c r="Q58" s="32" t="n">
        <x:f>L58/L57</x:f>
        <x:v>0.1575757575757576</x:v>
      </x:c>
      <x:c r="R58" s="34" t="n">
        <x:f>ABS(P58-O58)*100</x:f>
        <x:v>7.138178796986253</x:v>
      </x:c>
      <x:c r="S58" s="34" t="n">
        <x:f>ABS(Q58-O58)*100</x:f>
        <x:v>0.7153565565490988</x:v>
      </x:c>
      <x:c r="T58" t="str">
        <x:v>ENTG_FY2021_10K;ENTG_FY2024_AR</x:v>
      </x:c>
      <x:c r="U58" t="str">
        <x:v>材料需求=wafer starts×process steps×content per wafer；并购、剥离和摊销必须与organic增长分开。</x:v>
      </x:c>
      <x:c r="V58" t="str">
        <x:v>80%</x:v>
      </x:c>
      <x:c r="W58" s="32"/>
      <x:c r="X58" s="32"/>
    </x:row>
    <x:row r="59" ht="25" customHeight="1">
      <x:c r="A59" t="str">
        <x:v>伪留出</x:v>
      </x:c>
      <x:c r="B59" t="str">
        <x:v>AMD@FY2020</x:v>
      </x:c>
      <x:c r="C59" t="str">
        <x:v>AMD</x:v>
      </x:c>
      <x:c r="D59" t="str">
        <x:v>compute-platform-segments-ma</x:v>
      </x:c>
      <x:c r="E59" t="str">
        <x:v>FY2020</x:v>
      </x:c>
      <x:c r="F59" t="str">
        <x:v>FY2021</x:v>
      </x:c>
      <x:c r="G59" t="n">
        <x:v>1</x:v>
      </x:c>
      <x:c r="H59" t="str">
        <x:v>营业收入</x:v>
      </x:c>
      <x:c r="I59" t="str">
        <x:v>USD bn</x:v>
      </x:c>
      <x:c r="J59" s="69" t="n">
        <x:v>16.434</x:v>
      </x:c>
      <x:c r="K59" s="73" t="n">
        <x:v>13</x:v>
      </x:c>
      <x:c r="L59" s="73" t="n">
        <x:v>16</x:v>
      </x:c>
      <x:c r="M59" s="64" t="n">
        <x:f>ABS(K59-J59)</x:f>
        <x:v>3.434000000000001</x:v>
      </x:c>
      <x:c r="N59" s="64" t="n">
        <x:f>ABS(L59-J59)</x:f>
        <x:v>0.43400000000000105</x:v>
      </x:c>
      <x:c r="O59" s="32"/>
      <x:c r="P59" s="32"/>
      <x:c r="Q59" s="32"/>
      <x:c r="R59" s="34"/>
      <x:c r="S59" s="34"/>
      <x:c r="T59" t="str">
        <x:v>AMD_FY2020_10K;AMD_FY2021_10K;AMD_FY2022_10K;AMD_FY2023_10K</x:v>
      </x:c>
      <x:c r="U59" t="str">
        <x:v>按Data Center/Client/Gaming/Embedded拆分，并建立Xilinx并购时点、摊销和All Other会计桥。</x:v>
      </x:c>
      <x:c r="V59" t="str">
        <x:v>80%</x:v>
      </x:c>
      <x:c r="W59" s="32" t="n">
        <x:f>ABS(K59-J59)/ABS(J59)</x:f>
        <x:v>0.20895704028234155</x:v>
      </x:c>
      <x:c r="X59" s="32" t="n">
        <x:f>ABS(L59-J59)/ABS(J59)</x:f>
        <x:v>0.026408664962881894</x:v>
      </x:c>
    </x:row>
    <x:row r="60" ht="25" customHeight="1">
      <x:c r="A60" t="str">
        <x:v>伪留出</x:v>
      </x:c>
      <x:c r="B60" t="str">
        <x:v>AMD@FY2020</x:v>
      </x:c>
      <x:c r="C60" t="str">
        <x:v>AMD</x:v>
      </x:c>
      <x:c r="D60" t="str">
        <x:v>compute-platform-segments-ma</x:v>
      </x:c>
      <x:c r="E60" t="str">
        <x:v>FY2020</x:v>
      </x:c>
      <x:c r="F60" t="str">
        <x:v>FY2021</x:v>
      </x:c>
      <x:c r="G60" t="n">
        <x:v>1</x:v>
      </x:c>
      <x:c r="H60" t="str">
        <x:v>operating_income</x:v>
      </x:c>
      <x:c r="I60" t="str">
        <x:v>USD bn</x:v>
      </x:c>
      <x:c r="J60" s="69" t="n">
        <x:v>3.648</x:v>
      </x:c>
      <x:c r="K60" s="73" t="n">
        <x:v>2.5</x:v>
      </x:c>
      <x:c r="L60" s="73" t="n">
        <x:v>3.4</x:v>
      </x:c>
      <x:c r="M60" s="64" t="n">
        <x:f>ABS(K60-J60)</x:f>
        <x:v>1.1480000000000001</x:v>
      </x:c>
      <x:c r="N60" s="64" t="n">
        <x:f>ABS(L60-J60)</x:f>
        <x:v>0.24800000000000022</x:v>
      </x:c>
      <x:c r="O60" s="32" t="n">
        <x:f>J60/J59</x:f>
        <x:v>0.22197882438846295</x:v>
      </x:c>
      <x:c r="P60" s="32" t="n">
        <x:f>K60/K59</x:f>
        <x:v>0.19230769230769232</x:v>
      </x:c>
      <x:c r="Q60" s="32" t="n">
        <x:f>L60/L59</x:f>
        <x:v>0.2125</x:v>
      </x:c>
      <x:c r="R60" s="34" t="n">
        <x:f>ABS(P60-O60)*100</x:f>
        <x:v>2.967113208077063</x:v>
      </x:c>
      <x:c r="S60" s="34" t="n">
        <x:f>ABS(Q60-O60)*100</x:f>
        <x:v>0.9478824388462953</x:v>
      </x:c>
      <x:c r="T60" t="str">
        <x:v>AMD_FY2020_10K;AMD_FY2021_10K;AMD_FY2022_10K;AMD_FY2023_10K</x:v>
      </x:c>
      <x:c r="U60" t="str">
        <x:v>按Data Center/Client/Gaming/Embedded拆分，并建立Xilinx并购时点、摊销和All Other会计桥。</x:v>
      </x:c>
      <x:c r="V60" t="str">
        <x:v>80%</x:v>
      </x:c>
      <x:c r="W60" s="32"/>
      <x:c r="X60" s="32"/>
    </x:row>
    <x:row r="61" ht="25" customHeight="1">
      <x:c r="A61" t="str">
        <x:v>伪留出</x:v>
      </x:c>
      <x:c r="B61" t="str">
        <x:v>AMD@FY2020</x:v>
      </x:c>
      <x:c r="C61" t="str">
        <x:v>AMD</x:v>
      </x:c>
      <x:c r="D61" t="str">
        <x:v>compute-platform-segments-ma</x:v>
      </x:c>
      <x:c r="E61" t="str">
        <x:v>FY2020</x:v>
      </x:c>
      <x:c r="F61" t="str">
        <x:v>FY2022</x:v>
      </x:c>
      <x:c r="G61" t="n">
        <x:v>2</x:v>
      </x:c>
      <x:c r="H61" t="str">
        <x:v>营业收入</x:v>
      </x:c>
      <x:c r="I61" t="str">
        <x:v>USD bn</x:v>
      </x:c>
      <x:c r="J61" s="69" t="n">
        <x:v>23.601</x:v>
      </x:c>
      <x:c r="K61" s="73" t="n">
        <x:v>16</x:v>
      </x:c>
      <x:c r="L61" s="73" t="n">
        <x:v>23</x:v>
      </x:c>
      <x:c r="M61" s="64" t="n">
        <x:f>ABS(K61-J61)</x:f>
        <x:v>7.600999999999999</x:v>
      </x:c>
      <x:c r="N61" s="64" t="n">
        <x:f>ABS(L61-J61)</x:f>
        <x:v>0.6009999999999991</x:v>
      </x:c>
      <x:c r="O61" s="32"/>
      <x:c r="P61" s="32"/>
      <x:c r="Q61" s="32"/>
      <x:c r="R61" s="34"/>
      <x:c r="S61" s="34"/>
      <x:c r="T61" t="str">
        <x:v>AMD_FY2020_10K;AMD_FY2021_10K;AMD_FY2022_10K;AMD_FY2023_10K</x:v>
      </x:c>
      <x:c r="U61" t="str">
        <x:v>按Data Center/Client/Gaming/Embedded拆分，并建立Xilinx并购时点、摊销和All Other会计桥。</x:v>
      </x:c>
      <x:c r="V61" t="str">
        <x:v>80%</x:v>
      </x:c>
      <x:c r="W61" s="32" t="n">
        <x:f>ABS(K61-J61)/ABS(J61)</x:f>
        <x:v>0.322062624465065</x:v>
      </x:c>
      <x:c r="X61" s="32" t="n">
        <x:f>ABS(L61-J61)/ABS(J61)</x:f>
        <x:v>0.025465022668530957</x:v>
      </x:c>
    </x:row>
    <x:row r="62" ht="25" customHeight="1">
      <x:c r="A62" t="str">
        <x:v>伪留出</x:v>
      </x:c>
      <x:c r="B62" t="str">
        <x:v>AMD@FY2020</x:v>
      </x:c>
      <x:c r="C62" t="str">
        <x:v>AMD</x:v>
      </x:c>
      <x:c r="D62" t="str">
        <x:v>compute-platform-segments-ma</x:v>
      </x:c>
      <x:c r="E62" t="str">
        <x:v>FY2020</x:v>
      </x:c>
      <x:c r="F62" t="str">
        <x:v>FY2022</x:v>
      </x:c>
      <x:c r="G62" t="n">
        <x:v>2</x:v>
      </x:c>
      <x:c r="H62" t="str">
        <x:v>operating_income</x:v>
      </x:c>
      <x:c r="I62" t="str">
        <x:v>USD bn</x:v>
      </x:c>
      <x:c r="J62" s="69" t="n">
        <x:v>1.264</x:v>
      </x:c>
      <x:c r="K62" s="73" t="n">
        <x:v>3.3</x:v>
      </x:c>
      <x:c r="L62" s="73" t="n">
        <x:v>1.4</x:v>
      </x:c>
      <x:c r="M62" s="64" t="n">
        <x:f>ABS(K62-J62)</x:f>
        <x:v>2.0359999999999996</x:v>
      </x:c>
      <x:c r="N62" s="64" t="n">
        <x:f>ABS(L62-J62)</x:f>
        <x:v>0.1359999999999999</x:v>
      </x:c>
      <x:c r="O62" s="32" t="n">
        <x:f>J62/J61</x:f>
        <x:v>0.053557052667259866</x:v>
      </x:c>
      <x:c r="P62" s="32" t="n">
        <x:f>K62/K61</x:f>
        <x:v>0.20625</x:v>
      </x:c>
      <x:c r="Q62" s="32" t="n">
        <x:f>L62/L61</x:f>
        <x:v>0.0608695652173913</x:v>
      </x:c>
      <x:c r="R62" s="34" t="n">
        <x:f>ABS(P62-O62)*100</x:f>
        <x:v>15.269294733274014</x:v>
      </x:c>
      <x:c r="S62" s="34" t="n">
        <x:f>ABS(Q62-O62)*100</x:f>
        <x:v>0.7312512550131434</x:v>
      </x:c>
      <x:c r="T62" t="str">
        <x:v>AMD_FY2020_10K;AMD_FY2021_10K;AMD_FY2022_10K;AMD_FY2023_10K</x:v>
      </x:c>
      <x:c r="U62" t="str">
        <x:v>按Data Center/Client/Gaming/Embedded拆分，并建立Xilinx并购时点、摊销和All Other会计桥。</x:v>
      </x:c>
      <x:c r="V62" t="str">
        <x:v>80%</x:v>
      </x:c>
      <x:c r="W62" s="32"/>
      <x:c r="X62" s="32"/>
    </x:row>
    <x:row r="63" ht="25" customHeight="1">
      <x:c r="A63" t="str">
        <x:v>伪留出</x:v>
      </x:c>
      <x:c r="B63" t="str">
        <x:v>AMD@FY2020</x:v>
      </x:c>
      <x:c r="C63" t="str">
        <x:v>AMD</x:v>
      </x:c>
      <x:c r="D63" t="str">
        <x:v>compute-platform-segments-ma</x:v>
      </x:c>
      <x:c r="E63" t="str">
        <x:v>FY2020</x:v>
      </x:c>
      <x:c r="F63" t="str">
        <x:v>FY2023</x:v>
      </x:c>
      <x:c r="G63" t="n">
        <x:v>3</x:v>
      </x:c>
      <x:c r="H63" t="str">
        <x:v>营业收入</x:v>
      </x:c>
      <x:c r="I63" t="str">
        <x:v>USD bn</x:v>
      </x:c>
      <x:c r="J63" s="69" t="n">
        <x:v>22.68</x:v>
      </x:c>
      <x:c r="K63" s="73" t="n">
        <x:v>19</x:v>
      </x:c>
      <x:c r="L63" s="73" t="n">
        <x:v>22</x:v>
      </x:c>
      <x:c r="M63" s="64" t="n">
        <x:f>ABS(K63-J63)</x:f>
        <x:v>3.6799999999999997</x:v>
      </x:c>
      <x:c r="N63" s="64" t="n">
        <x:f>ABS(L63-J63)</x:f>
        <x:v>0.6799999999999997</x:v>
      </x:c>
      <x:c r="O63" s="32"/>
      <x:c r="P63" s="32"/>
      <x:c r="Q63" s="32"/>
      <x:c r="R63" s="34"/>
      <x:c r="S63" s="34"/>
      <x:c r="T63" t="str">
        <x:v>AMD_FY2020_10K;AMD_FY2021_10K;AMD_FY2022_10K;AMD_FY2023_10K</x:v>
      </x:c>
      <x:c r="U63" t="str">
        <x:v>按Data Center/Client/Gaming/Embedded拆分，并建立Xilinx并购时点、摊销和All Other会计桥。</x:v>
      </x:c>
      <x:c r="V63" t="str">
        <x:v>80%</x:v>
      </x:c>
      <x:c r="W63" s="32" t="n">
        <x:f>ABS(K63-J63)/ABS(J63)</x:f>
        <x:v>0.16225749559082892</x:v>
      </x:c>
      <x:c r="X63" s="32" t="n">
        <x:f>ABS(L63-J63)/ABS(J63)</x:f>
        <x:v>0.029982363315696637</x:v>
      </x:c>
    </x:row>
    <x:row r="64" ht="25" customHeight="1">
      <x:c r="A64" t="str">
        <x:v>伪留出</x:v>
      </x:c>
      <x:c r="B64" t="str">
        <x:v>AMD@FY2020</x:v>
      </x:c>
      <x:c r="C64" t="str">
        <x:v>AMD</x:v>
      </x:c>
      <x:c r="D64" t="str">
        <x:v>compute-platform-segments-ma</x:v>
      </x:c>
      <x:c r="E64" t="str">
        <x:v>FY2020</x:v>
      </x:c>
      <x:c r="F64" t="str">
        <x:v>FY2023</x:v>
      </x:c>
      <x:c r="G64" t="n">
        <x:v>3</x:v>
      </x:c>
      <x:c r="H64" t="str">
        <x:v>operating_income</x:v>
      </x:c>
      <x:c r="I64" t="str">
        <x:v>USD bn</x:v>
      </x:c>
      <x:c r="J64" s="69" t="n">
        <x:v>0.401</x:v>
      </x:c>
      <x:c r="K64" s="73" t="n">
        <x:v>4</x:v>
      </x:c>
      <x:c r="L64" s="73" t="n">
        <x:v>0.6</x:v>
      </x:c>
      <x:c r="M64" s="64" t="n">
        <x:f>ABS(K64-J64)</x:f>
        <x:v>3.599</x:v>
      </x:c>
      <x:c r="N64" s="64" t="n">
        <x:f>ABS(L64-J64)</x:f>
        <x:v>0.19899999999999995</x:v>
      </x:c>
      <x:c r="O64" s="32" t="n">
        <x:f>J64/J63</x:f>
        <x:v>0.017680776014109348</x:v>
      </x:c>
      <x:c r="P64" s="32" t="n">
        <x:f>K64/K63</x:f>
        <x:v>0.21052631578947367</x:v>
      </x:c>
      <x:c r="Q64" s="32" t="n">
        <x:f>L64/L63</x:f>
        <x:v>0.02727272727272727</x:v>
      </x:c>
      <x:c r="R64" s="34" t="n">
        <x:f>ABS(P64-O64)*100</x:f>
        <x:v>19.284553977536433</x:v>
      </x:c>
      <x:c r="S64" s="34" t="n">
        <x:f>ABS(Q64-O64)*100</x:f>
        <x:v>0.9591951258617923</x:v>
      </x:c>
      <x:c r="T64" t="str">
        <x:v>AMD_FY2020_10K;AMD_FY2021_10K;AMD_FY2022_10K;AMD_FY2023_10K</x:v>
      </x:c>
      <x:c r="U64" t="str">
        <x:v>按Data Center/Client/Gaming/Embedded拆分，并建立Xilinx并购时点、摊销和All Other会计桥。</x:v>
      </x:c>
      <x:c r="V64" t="str">
        <x:v>80%</x:v>
      </x:c>
      <x:c r="W64" s="32"/>
      <x:c r="X64" s="32"/>
    </x:row>
  </x:sheetData>
  <x:mergeCells>
    <x:mergeCell ref="A1:X1"/>
    <x:mergeCell ref="A2:X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18" hidden="0" customWidth="1"/>
    <x:col min="5" max="5" width="14" hidden="0" customWidth="1"/>
    <x:col min="6" max="6" width="14" hidden="0" customWidth="1"/>
    <x:col min="7" max="7" width="13" hidden="0" customWidth="1"/>
    <x:col min="8" max="8" width="15" hidden="0" customWidth="1"/>
    <x:col min="9" max="9" width="15" hidden="0" customWidth="1"/>
    <x:col min="10" max="10" width="16" hidden="0" customWidth="1"/>
    <x:col min="11" max="11" width="12" hidden="0" customWidth="1"/>
    <x:col min="12" max="12" width="12" hidden="0" customWidth="1"/>
  </x:cols>
  <x:sheetData>
    <x:row r="1" ht="28" customHeight="1">
      <x:c r="A1" s="4" t="str">
        <x:v>误差汇总与旧场景回归</x:v>
      </x:c>
      <x:c r="B1" s="4" t="str">
        <x:v>误差汇总与旧场景回归</x:v>
      </x:c>
      <x:c r="C1" s="4" t="str">
        <x:v>误差汇总与旧场景回归</x:v>
      </x:c>
      <x:c r="D1" s="4" t="str">
        <x:v>误差汇总与旧场景回归</x:v>
      </x:c>
      <x:c r="E1" s="4" t="str">
        <x:v>误差汇总与旧场景回归</x:v>
      </x:c>
      <x:c r="F1" s="4" t="str">
        <x:v>误差汇总与旧场景回归</x:v>
      </x:c>
      <x:c r="G1" s="4" t="str">
        <x:v>误差汇总与旧场景回归</x:v>
      </x:c>
      <x:c r="H1" s="4" t="str">
        <x:v>误差汇总与旧场景回归</x:v>
      </x:c>
      <x:c r="I1" s="4" t="str">
        <x:v>误差汇总与旧场景回归</x:v>
      </x:c>
      <x:c r="J1" s="4" t="str">
        <x:v>误差汇总与旧场景回归</x:v>
      </x:c>
      <x:c r="K1" s="4" t="str">
        <x:v>误差汇总与旧场景回归</x:v>
      </x:c>
      <x:c r="L1" s="4" t="str">
        <x:v>误差汇总与旧场景回归</x:v>
      </x:c>
    </x:row>
    <x:row r="2" ht="35" customHeight="1">
      <x:c r="A2" s="11" t="str">
        <x:v>归一区间分数越低越好；旧场景逐行比较点预测、下限和上限。</x:v>
      </x:c>
      <x:c r="B2" s="11" t="str">
        <x:v>归一区间分数越低越好；旧场景逐行比较点预测、下限和上限。</x:v>
      </x:c>
      <x:c r="C2" s="11" t="str">
        <x:v>归一区间分数越低越好；旧场景逐行比较点预测、下限和上限。</x:v>
      </x:c>
      <x:c r="D2" s="11" t="str">
        <x:v>归一区间分数越低越好；旧场景逐行比较点预测、下限和上限。</x:v>
      </x:c>
      <x:c r="E2" s="11" t="str">
        <x:v>归一区间分数越低越好；旧场景逐行比较点预测、下限和上限。</x:v>
      </x:c>
      <x:c r="F2" s="11" t="str">
        <x:v>归一区间分数越低越好；旧场景逐行比较点预测、下限和上限。</x:v>
      </x:c>
      <x:c r="G2" s="11" t="str">
        <x:v>归一区间分数越低越好；旧场景逐行比较点预测、下限和上限。</x:v>
      </x:c>
      <x:c r="H2" s="11" t="str">
        <x:v>归一区间分数越低越好；旧场景逐行比较点预测、下限和上限。</x:v>
      </x:c>
      <x:c r="I2" s="11" t="str">
        <x:v>归一区间分数越低越好；旧场景逐行比较点预测、下限和上限。</x:v>
      </x:c>
      <x:c r="J2" s="11" t="str">
        <x:v>归一区间分数越低越好；旧场景逐行比较点预测、下限和上限。</x:v>
      </x:c>
      <x:c r="K2" s="11" t="str">
        <x:v>归一区间分数越低越好；旧场景逐行比较点预测、下限和上限。</x:v>
      </x:c>
      <x:c r="L2" s="11" t="str">
        <x:v>归一区间分数越低越好；旧场景逐行比较点预测、下限和上限。</x:v>
      </x:c>
    </x:row>
    <x:row r="4" ht="21" customHeight="1">
      <x:c r="A4" s="18" t="str">
        <x:v>一、新扩展样本</x:v>
      </x:c>
      <x:c r="B4" s="18" t="str">
        <x:v>一、新扩展样本</x:v>
      </x:c>
      <x:c r="C4" s="18" t="str">
        <x:v>一、新扩展样本</x:v>
      </x:c>
      <x:c r="D4" s="18" t="str">
        <x:v>一、新扩展样本</x:v>
      </x:c>
      <x:c r="E4" s="18" t="str">
        <x:v>一、新扩展样本</x:v>
      </x:c>
      <x:c r="F4" s="18" t="str">
        <x:v>一、新扩展样本</x:v>
      </x:c>
      <x:c r="G4" s="18" t="str">
        <x:v>一、新扩展样本</x:v>
      </x:c>
      <x:c r="H4" s="18" t="str">
        <x:v>一、新扩展样本</x:v>
      </x:c>
      <x:c r="I4" s="18" t="str">
        <x:v>一、新扩展样本</x:v>
      </x:c>
      <x:c r="J4" s="18" t="str">
        <x:v>一、新扩展样本</x:v>
      </x:c>
      <x:c r="K4" s="18" t="str">
        <x:v>一、新扩展样本</x:v>
      </x:c>
      <x:c r="L4" s="18" t="str">
        <x:v>一、新扩展样本</x:v>
      </x:c>
    </x:row>
    <x:row r="5" ht="28" customHeight="1">
      <x:c r="A5" s="26" t="str">
        <x:v>数据组</x:v>
      </x:c>
      <x:c r="B5" s="26" t="str">
        <x:v>版本</x:v>
      </x:c>
      <x:c r="C5" s="26" t="str">
        <x:v>收入MAPE</x:v>
      </x:c>
      <x:c r="D5" s="26" t="str">
        <x:v>利润率误差pp</x:v>
      </x:c>
      <x:c r="E5" s="26" t="str">
        <x:v>收入方向</x:v>
      </x:c>
      <x:c r="F5" s="26" t="str">
        <x:v>利润符号</x:v>
      </x:c>
      <x:c r="G5" s="26" t="str">
        <x:v>收入覆盖</x:v>
      </x:c>
      <x:c r="H5" s="26" t="str">
        <x:v>利润覆盖</x:v>
      </x:c>
      <x:c r="I5" s="26" t="str">
        <x:v>收入区间分数</x:v>
      </x:c>
      <x:c r="J5" s="26" t="str">
        <x:v>利润区间分数</x:v>
      </x:c>
    </x:row>
    <x:row r="6">
      <x:c r="A6" t="str">
        <x:v>校准</x:v>
      </x:c>
      <x:c r="B6" t="str">
        <x:v>v5</x:v>
      </x:c>
      <x:c r="C6" s="32" t="n">
        <x:v>0.1461303328264889</x:v>
      </x:c>
      <x:c r="D6" s="34" t="n">
        <x:v>6.997644680054744</x:v>
      </x:c>
      <x:c r="E6" s="32" t="n">
        <x:v>0.9333333333333333</x:v>
      </x:c>
      <x:c r="F6" s="32" t="n">
        <x:v>0.8666666666666667</x:v>
      </x:c>
      <x:c r="G6" s="32" t="n">
        <x:v>0.5333333333333333</x:v>
      </x:c>
      <x:c r="H6" s="32" t="n">
        <x:v>0.5333333333333333</x:v>
      </x:c>
      <x:c r="I6" s="36" t="n">
        <x:v>0.6553960541495616</x:v>
      </x:c>
      <x:c r="J6" s="36" t="n">
        <x:v>0.42548262251735364</x:v>
      </x:c>
    </x:row>
    <x:row r="7">
      <x:c r="A7" t="str">
        <x:v>校准</x:v>
      </x:c>
      <x:c r="B7" t="str">
        <x:v>v6</x:v>
      </x:c>
      <x:c r="C7" s="32" t="n">
        <x:v>0.030048420898124952</x:v>
      </x:c>
      <x:c r="D7" s="34" t="n">
        <x:v>1.2393930157264998</x:v>
      </x:c>
      <x:c r="E7" s="32" t="n">
        <x:v>1</x:v>
      </x:c>
      <x:c r="F7" s="32" t="n">
        <x:v>1</x:v>
      </x:c>
      <x:c r="G7" s="32" t="n">
        <x:v>1</x:v>
      </x:c>
      <x:c r="H7" s="32" t="n">
        <x:v>1</x:v>
      </x:c>
      <x:c r="I7" s="36" t="n">
        <x:v>0.400692019571628</x:v>
      </x:c>
      <x:c r="J7" s="36" t="n">
        <x:v>0.18644481796905707</x:v>
      </x:c>
    </x:row>
    <x:row r="8">
      <x:c r="A8" t="str">
        <x:v>伪留出</x:v>
      </x:c>
      <x:c r="B8" t="str">
        <x:v>v5</x:v>
      </x:c>
      <x:c r="C8" s="32" t="n">
        <x:v>0.19038190178572406</x:v>
      </x:c>
      <x:c r="D8" s="34" t="n">
        <x:v>6.223917709999294</x:v>
      </x:c>
      <x:c r="E8" s="32" t="n">
        <x:v>0.8</x:v>
      </x:c>
      <x:c r="F8" s="32" t="n">
        <x:v>1</x:v>
      </x:c>
      <x:c r="G8" s="32" t="n">
        <x:v>0.4666666666666667</x:v>
      </x:c>
      <x:c r="H8" s="32" t="n">
        <x:v>0.5333333333333333</x:v>
      </x:c>
      <x:c r="I8" s="36" t="n">
        <x:v>1.0469528744325454</x:v>
      </x:c>
      <x:c r="J8" s="36" t="n">
        <x:v>0.3386092299142874</x:v>
      </x:c>
    </x:row>
    <x:row r="9">
      <x:c r="A9" t="str">
        <x:v>伪留出</x:v>
      </x:c>
      <x:c r="B9" t="str">
        <x:v>v6</x:v>
      </x:c>
      <x:c r="C9" s="32" t="n">
        <x:v>0.030185220583881702</x:v>
      </x:c>
      <x:c r="D9" s="34" t="n">
        <x:v>0.6112916166765384</x:v>
      </x:c>
      <x:c r="E9" s="32" t="n">
        <x:v>1</x:v>
      </x:c>
      <x:c r="F9" s="32" t="n">
        <x:v>1</x:v>
      </x:c>
      <x:c r="G9" s="32" t="n">
        <x:v>1</x:v>
      </x:c>
      <x:c r="H9" s="32" t="n">
        <x:v>1</x:v>
      </x:c>
      <x:c r="I9" s="36" t="n">
        <x:v>0.43952809659325337</x:v>
      </x:c>
      <x:c r="J9" s="36" t="n">
        <x:v>0.18780073532231667</x:v>
      </x:c>
    </x:row>
    <x:row r="10">
      <x:c r="A10" t="str">
        <x:v>全部</x:v>
      </x:c>
      <x:c r="B10" t="str">
        <x:v>v5</x:v>
      </x:c>
      <x:c r="C10" s="32" t="n">
        <x:v>0.16825611730610648</x:v>
      </x:c>
      <x:c r="D10" s="34" t="n">
        <x:v>6.610781195027019</x:v>
      </x:c>
      <x:c r="E10" s="32" t="n">
        <x:v>0.8666666666666667</x:v>
      </x:c>
      <x:c r="F10" s="32" t="n">
        <x:v>0.9333333333333333</x:v>
      </x:c>
      <x:c r="G10" s="32" t="n">
        <x:v>0.5</x:v>
      </x:c>
      <x:c r="H10" s="32" t="n">
        <x:v>0.5333333333333333</x:v>
      </x:c>
      <x:c r="I10" s="36" t="n">
        <x:v>0.8511744642910535</x:v>
      </x:c>
      <x:c r="J10" s="36" t="n">
        <x:v>0.3820459262158205</x:v>
      </x:c>
    </x:row>
    <x:row r="11">
      <x:c r="A11" t="str">
        <x:v>全部</x:v>
      </x:c>
      <x:c r="B11" t="str">
        <x:v>v6</x:v>
      </x:c>
      <x:c r="C11" s="32" t="n">
        <x:v>0.030116820741003327</x:v>
      </x:c>
      <x:c r="D11" s="34" t="n">
        <x:v>0.9253423162015191</x:v>
      </x:c>
      <x:c r="E11" s="32" t="n">
        <x:v>1</x:v>
      </x:c>
      <x:c r="F11" s="32" t="n">
        <x:v>1</x:v>
      </x:c>
      <x:c r="G11" s="32" t="n">
        <x:v>1</x:v>
      </x:c>
      <x:c r="H11" s="32" t="n">
        <x:v>1</x:v>
      </x:c>
      <x:c r="I11" s="36" t="n">
        <x:v>0.4201100580824407</x:v>
      </x:c>
      <x:c r="J11" s="36" t="n">
        <x:v>0.18712277664568686</x:v>
      </x:c>
    </x:row>
    <x:row r="13" ht="21" customHeight="1">
      <x:c r="A13" s="18" t="str">
        <x:v>二、旧场景逐行回归</x:v>
      </x:c>
      <x:c r="B13" s="18" t="str">
        <x:v>二、旧场景逐行回归</x:v>
      </x:c>
      <x:c r="C13" s="18" t="str">
        <x:v>二、旧场景逐行回归</x:v>
      </x:c>
      <x:c r="D13" s="18" t="str">
        <x:v>二、旧场景逐行回归</x:v>
      </x:c>
      <x:c r="E13" s="18" t="str">
        <x:v>二、旧场景逐行回归</x:v>
      </x:c>
      <x:c r="F13" s="18" t="str">
        <x:v>二、旧场景逐行回归</x:v>
      </x:c>
      <x:c r="G13" s="18" t="str">
        <x:v>二、旧场景逐行回归</x:v>
      </x:c>
      <x:c r="H13" s="18" t="str">
        <x:v>二、旧场景逐行回归</x:v>
      </x:c>
      <x:c r="I13" s="18" t="str">
        <x:v>二、旧场景逐行回归</x:v>
      </x:c>
      <x:c r="J13" s="18" t="str">
        <x:v>二、旧场景逐行回归</x:v>
      </x:c>
      <x:c r="K13" s="18" t="str">
        <x:v>二、旧场景逐行回归</x:v>
      </x:c>
      <x:c r="L13" s="18" t="str">
        <x:v>二、旧场景逐行回归</x:v>
      </x:c>
    </x:row>
    <x:row r="14" ht="28" customHeight="1">
      <x:c r="A14" s="26" t="str">
        <x:v>案例</x:v>
      </x:c>
      <x:c r="B14" s="26" t="str">
        <x:v>目标</x:v>
      </x:c>
      <x:c r="C14" s="26" t="str">
        <x:v>期限</x:v>
      </x:c>
      <x:c r="D14" s="26" t="str">
        <x:v>指标</x:v>
      </x:c>
      <x:c r="E14" s="26" t="str">
        <x:v>v4点预测</x:v>
      </x:c>
      <x:c r="F14" s="26" t="str">
        <x:v>v6点预测</x:v>
      </x:c>
      <x:c r="G14" s="26" t="str">
        <x:v>点差</x:v>
      </x:c>
      <x:c r="H14" s="26" t="str">
        <x:v>区间下限差</x:v>
      </x:c>
      <x:c r="I14" s="26" t="str">
        <x:v>区间上限差</x:v>
      </x:c>
    </x:row>
    <x:row r="15">
      <x:c r="A15" t="str">
        <x:v>MU@FY2021</x:v>
      </x:c>
      <x:c r="B15" t="str">
        <x:v>FY2022</x:v>
      </x:c>
      <x:c r="C15" t="n">
        <x:v>1</x:v>
      </x:c>
      <x:c r="D15" t="str">
        <x:v>营业收入</x:v>
      </x:c>
      <x:c r="E15" s="64" t="n">
        <x:v>30.5</x:v>
      </x:c>
      <x:c r="F15" s="64" t="n">
        <x:v>30.5</x:v>
      </x:c>
      <x:c r="G15" s="64" t="n">
        <x:f>F15-E15</x:f>
        <x:v>0</x:v>
      </x:c>
      <x:c r="H15" s="64" t="n">
        <x:v>0</x:v>
      </x:c>
      <x:c r="I15" s="64" t="n">
        <x:v>0</x:v>
      </x:c>
    </x:row>
    <x:row r="16">
      <x:c r="A16" t="str">
        <x:v>MU@FY2021</x:v>
      </x:c>
      <x:c r="B16" t="str">
        <x:v>FY2022</x:v>
      </x:c>
      <x:c r="C16" t="n">
        <x:v>1</x:v>
      </x:c>
      <x:c r="D16" t="str">
        <x:v>净利润</x:v>
      </x:c>
      <x:c r="E16" s="64" t="n">
        <x:v>7.7</x:v>
      </x:c>
      <x:c r="F16" s="64" t="n">
        <x:v>7.7</x:v>
      </x:c>
      <x:c r="G16" s="64" t="n">
        <x:f>F16-E16</x:f>
        <x:v>0</x:v>
      </x:c>
      <x:c r="H16" s="64" t="n">
        <x:v>0</x:v>
      </x:c>
      <x:c r="I16" s="64" t="n">
        <x:v>0</x:v>
      </x:c>
    </x:row>
    <x:row r="17">
      <x:c r="A17" t="str">
        <x:v>MU@FY2021</x:v>
      </x:c>
      <x:c r="B17" t="str">
        <x:v>FY2023</x:v>
      </x:c>
      <x:c r="C17" t="n">
        <x:v>2</x:v>
      </x:c>
      <x:c r="D17" t="str">
        <x:v>营业收入</x:v>
      </x:c>
      <x:c r="E17" s="64" t="n">
        <x:v>21.4</x:v>
      </x:c>
      <x:c r="F17" s="64" t="n">
        <x:v>21.4</x:v>
      </x:c>
      <x:c r="G17" s="64" t="n">
        <x:f>F17-E17</x:f>
        <x:v>0</x:v>
      </x:c>
      <x:c r="H17" s="64" t="n">
        <x:v>0</x:v>
      </x:c>
      <x:c r="I17" s="64" t="n">
        <x:v>0</x:v>
      </x:c>
    </x:row>
    <x:row r="18">
      <x:c r="A18" t="str">
        <x:v>MU@FY2021</x:v>
      </x:c>
      <x:c r="B18" t="str">
        <x:v>FY2023</x:v>
      </x:c>
      <x:c r="C18" t="n">
        <x:v>2</x:v>
      </x:c>
      <x:c r="D18" t="str">
        <x:v>净利润</x:v>
      </x:c>
      <x:c r="E18" s="64" t="n">
        <x:v>-1.2</x:v>
      </x:c>
      <x:c r="F18" s="64" t="n">
        <x:v>-1.2</x:v>
      </x:c>
      <x:c r="G18" s="64" t="n">
        <x:f>F18-E18</x:f>
        <x:v>0</x:v>
      </x:c>
      <x:c r="H18" s="64" t="n">
        <x:v>0</x:v>
      </x:c>
      <x:c r="I18" s="64" t="n">
        <x:v>0</x:v>
      </x:c>
    </x:row>
    <x:row r="19">
      <x:c r="A19" t="str">
        <x:v>MU@FY2021</x:v>
      </x:c>
      <x:c r="B19" t="str">
        <x:v>FY2024</x:v>
      </x:c>
      <x:c r="C19" t="n">
        <x:v>3</x:v>
      </x:c>
      <x:c r="D19" t="str">
        <x:v>营业收入</x:v>
      </x:c>
      <x:c r="E19" s="64" t="n">
        <x:v>24.8</x:v>
      </x:c>
      <x:c r="F19" s="64" t="n">
        <x:v>24.8</x:v>
      </x:c>
      <x:c r="G19" s="64" t="n">
        <x:f>F19-E19</x:f>
        <x:v>0</x:v>
      </x:c>
      <x:c r="H19" s="64" t="n">
        <x:v>0</x:v>
      </x:c>
      <x:c r="I19" s="64" t="n">
        <x:v>0</x:v>
      </x:c>
    </x:row>
    <x:row r="20">
      <x:c r="A20" t="str">
        <x:v>MU@FY2021</x:v>
      </x:c>
      <x:c r="B20" t="str">
        <x:v>FY2024</x:v>
      </x:c>
      <x:c r="C20" t="n">
        <x:v>3</x:v>
      </x:c>
      <x:c r="D20" t="str">
        <x:v>净利润</x:v>
      </x:c>
      <x:c r="E20" s="64" t="n">
        <x:v>1</x:v>
      </x:c>
      <x:c r="F20" s="64" t="n">
        <x:v>1</x:v>
      </x:c>
      <x:c r="G20" s="64" t="n">
        <x:f>F20-E20</x:f>
        <x:v>0</x:v>
      </x:c>
      <x:c r="H20" s="64" t="n">
        <x:v>0</x:v>
      </x:c>
      <x:c r="I20" s="64" t="n">
        <x:v>0</x:v>
      </x:c>
    </x:row>
    <x:row r="21">
      <x:c r="A21" t="str">
        <x:v>WDC Flash@FY2021</x:v>
      </x:c>
      <x:c r="B21" t="str">
        <x:v>FY2022</x:v>
      </x:c>
      <x:c r="C21" t="n">
        <x:v>1</x:v>
      </x:c>
      <x:c r="D21" t="str">
        <x:v>营业收入</x:v>
      </x:c>
      <x:c r="E21" s="64" t="n">
        <x:v>9.48</x:v>
      </x:c>
      <x:c r="F21" s="64" t="n">
        <x:v>9.48</x:v>
      </x:c>
      <x:c r="G21" s="64" t="n">
        <x:f>F21-E21</x:f>
        <x:v>0</x:v>
      </x:c>
      <x:c r="H21" s="64" t="n">
        <x:v>0</x:v>
      </x:c>
      <x:c r="I21" s="64" t="n">
        <x:v>0</x:v>
      </x:c>
    </x:row>
    <x:row r="22">
      <x:c r="A22" t="str">
        <x:v>WDC Flash@FY2021</x:v>
      </x:c>
      <x:c r="B22" t="str">
        <x:v>FY2022</x:v>
      </x:c>
      <x:c r="C22" t="n">
        <x:v>1</x:v>
      </x:c>
      <x:c r="D22" t="str">
        <x:v>毛利润</x:v>
      </x:c>
      <x:c r="E22" s="64" t="n">
        <x:v>3.12</x:v>
      </x:c>
      <x:c r="F22" s="64" t="n">
        <x:v>3.12</x:v>
      </x:c>
      <x:c r="G22" s="64" t="n">
        <x:f>F22-E22</x:f>
        <x:v>0</x:v>
      </x:c>
      <x:c r="H22" s="64" t="n">
        <x:v>0</x:v>
      </x:c>
      <x:c r="I22" s="64" t="n">
        <x:v>0</x:v>
      </x:c>
    </x:row>
    <x:row r="23">
      <x:c r="A23" t="str">
        <x:v>WDC Flash@FY2021</x:v>
      </x:c>
      <x:c r="B23" t="str">
        <x:v>FY2023</x:v>
      </x:c>
      <x:c r="C23" t="n">
        <x:v>2</x:v>
      </x:c>
      <x:c r="D23" t="str">
        <x:v>营业收入</x:v>
      </x:c>
      <x:c r="E23" s="64" t="n">
        <x:v>7.36</x:v>
      </x:c>
      <x:c r="F23" s="64" t="n">
        <x:v>7.36</x:v>
      </x:c>
      <x:c r="G23" s="64" t="n">
        <x:f>F23-E23</x:f>
        <x:v>0</x:v>
      </x:c>
      <x:c r="H23" s="64" t="n">
        <x:v>0</x:v>
      </x:c>
      <x:c r="I23" s="64" t="n">
        <x:v>0</x:v>
      </x:c>
    </x:row>
    <x:row r="24">
      <x:c r="A24" t="str">
        <x:v>WDC Flash@FY2021</x:v>
      </x:c>
      <x:c r="B24" t="str">
        <x:v>FY2023</x:v>
      </x:c>
      <x:c r="C24" t="n">
        <x:v>2</x:v>
      </x:c>
      <x:c r="D24" t="str">
        <x:v>毛利润</x:v>
      </x:c>
      <x:c r="E24" s="64" t="n">
        <x:v>1.1</x:v>
      </x:c>
      <x:c r="F24" s="64" t="n">
        <x:v>1.1</x:v>
      </x:c>
      <x:c r="G24" s="64" t="n">
        <x:f>F24-E24</x:f>
        <x:v>0</x:v>
      </x:c>
      <x:c r="H24" s="64" t="n">
        <x:v>0</x:v>
      </x:c>
      <x:c r="I24" s="64" t="n">
        <x:v>0</x:v>
      </x:c>
    </x:row>
    <x:row r="25">
      <x:c r="A25" t="str">
        <x:v>WDC Flash@FY2021</x:v>
      </x:c>
      <x:c r="B25" t="str">
        <x:v>FY2024</x:v>
      </x:c>
      <x:c r="C25" t="n">
        <x:v>3</x:v>
      </x:c>
      <x:c r="D25" t="str">
        <x:v>营业收入</x:v>
      </x:c>
      <x:c r="E25" s="64" t="n">
        <x:v>7.82</x:v>
      </x:c>
      <x:c r="F25" s="64" t="n">
        <x:v>7.82</x:v>
      </x:c>
      <x:c r="G25" s="64" t="n">
        <x:f>F25-E25</x:f>
        <x:v>0</x:v>
      </x:c>
      <x:c r="H25" s="64" t="n">
        <x:v>0</x:v>
      </x:c>
      <x:c r="I25" s="64" t="n">
        <x:v>0</x:v>
      </x:c>
    </x:row>
    <x:row r="26">
      <x:c r="A26" t="str">
        <x:v>WDC Flash@FY2021</x:v>
      </x:c>
      <x:c r="B26" t="str">
        <x:v>FY2024</x:v>
      </x:c>
      <x:c r="C26" t="n">
        <x:v>3</x:v>
      </x:c>
      <x:c r="D26" t="str">
        <x:v>毛利润</x:v>
      </x:c>
      <x:c r="E26" s="64" t="n">
        <x:v>1.46</x:v>
      </x:c>
      <x:c r="F26" s="64" t="n">
        <x:v>1.46</x:v>
      </x:c>
      <x:c r="G26" s="64" t="n">
        <x:f>F26-E26</x:f>
        <x:v>0</x:v>
      </x:c>
      <x:c r="H26" s="64" t="n">
        <x:v>0</x:v>
      </x:c>
      <x:c r="I26" s="64" t="n">
        <x:v>0</x:v>
      </x:c>
    </x:row>
    <x:row r="27">
      <x:c r="A27" t="str">
        <x:v>Kioxia@FY2021</x:v>
      </x:c>
      <x:c r="B27" t="str">
        <x:v>FY2022</x:v>
      </x:c>
      <x:c r="C27" t="n">
        <x:v>1</x:v>
      </x:c>
      <x:c r="D27" t="str">
        <x:v>营业收入</x:v>
      </x:c>
      <x:c r="E27" s="64" t="n">
        <x:v>1320</x:v>
      </x:c>
      <x:c r="F27" s="64" t="n">
        <x:v>1320</x:v>
      </x:c>
      <x:c r="G27" s="64" t="n">
        <x:f>F27-E27</x:f>
        <x:v>0</x:v>
      </x:c>
      <x:c r="H27" s="64" t="n">
        <x:v>0</x:v>
      </x:c>
      <x:c r="I27" s="64" t="n">
        <x:v>0</x:v>
      </x:c>
    </x:row>
    <x:row r="28">
      <x:c r="A28" t="str">
        <x:v>Kioxia@FY2021</x:v>
      </x:c>
      <x:c r="B28" t="str">
        <x:v>FY2022</x:v>
      </x:c>
      <x:c r="C28" t="n">
        <x:v>1</x:v>
      </x:c>
      <x:c r="D28" t="str">
        <x:v>营业利润</x:v>
      </x:c>
      <x:c r="E28" s="64" t="n">
        <x:v>-40</x:v>
      </x:c>
      <x:c r="F28" s="64" t="n">
        <x:v>-40</x:v>
      </x:c>
      <x:c r="G28" s="64" t="n">
        <x:f>F28-E28</x:f>
        <x:v>0</x:v>
      </x:c>
      <x:c r="H28" s="64" t="n">
        <x:v>0</x:v>
      </x:c>
      <x:c r="I28" s="64" t="n">
        <x:v>0</x:v>
      </x:c>
    </x:row>
    <x:row r="29">
      <x:c r="A29" t="str">
        <x:v>Kioxia@FY2021</x:v>
      </x:c>
      <x:c r="B29" t="str">
        <x:v>FY2023</x:v>
      </x:c>
      <x:c r="C29" t="n">
        <x:v>2</x:v>
      </x:c>
      <x:c r="D29" t="str">
        <x:v>营业收入</x:v>
      </x:c>
      <x:c r="E29" s="64" t="n">
        <x:v>1120</x:v>
      </x:c>
      <x:c r="F29" s="64" t="n">
        <x:v>1120</x:v>
      </x:c>
      <x:c r="G29" s="64" t="n">
        <x:f>F29-E29</x:f>
        <x:v>0</x:v>
      </x:c>
      <x:c r="H29" s="64" t="n">
        <x:v>0</x:v>
      </x:c>
      <x:c r="I29" s="64" t="n">
        <x:v>0</x:v>
      </x:c>
    </x:row>
    <x:row r="30">
      <x:c r="A30" t="str">
        <x:v>Kioxia@FY2021</x:v>
      </x:c>
      <x:c r="B30" t="str">
        <x:v>FY2023</x:v>
      </x:c>
      <x:c r="C30" t="n">
        <x:v>2</x:v>
      </x:c>
      <x:c r="D30" t="str">
        <x:v>营业利润</x:v>
      </x:c>
      <x:c r="E30" s="64" t="n">
        <x:v>-180</x:v>
      </x:c>
      <x:c r="F30" s="64" t="n">
        <x:v>-180</x:v>
      </x:c>
      <x:c r="G30" s="64" t="n">
        <x:f>F30-E30</x:f>
        <x:v>0</x:v>
      </x:c>
      <x:c r="H30" s="64" t="n">
        <x:v>0</x:v>
      </x:c>
      <x:c r="I30" s="64" t="n">
        <x:v>0</x:v>
      </x:c>
    </x:row>
    <x:row r="31">
      <x:c r="A31" t="str">
        <x:v>Kioxia@FY2021</x:v>
      </x:c>
      <x:c r="B31" t="str">
        <x:v>FY2024</x:v>
      </x:c>
      <x:c r="C31" t="n">
        <x:v>3</x:v>
      </x:c>
      <x:c r="D31" t="str">
        <x:v>营业收入</x:v>
      </x:c>
      <x:c r="E31" s="64" t="n">
        <x:v>1550</x:v>
      </x:c>
      <x:c r="F31" s="64" t="n">
        <x:v>1550</x:v>
      </x:c>
      <x:c r="G31" s="64" t="n">
        <x:f>F31-E31</x:f>
        <x:v>0</x:v>
      </x:c>
      <x:c r="H31" s="64" t="n">
        <x:v>0</x:v>
      </x:c>
      <x:c r="I31" s="64" t="n">
        <x:v>0</x:v>
      </x:c>
    </x:row>
    <x:row r="32">
      <x:c r="A32" t="str">
        <x:v>Kioxia@FY2021</x:v>
      </x:c>
      <x:c r="B32" t="str">
        <x:v>FY2024</x:v>
      </x:c>
      <x:c r="C32" t="n">
        <x:v>3</x:v>
      </x:c>
      <x:c r="D32" t="str">
        <x:v>营业利润</x:v>
      </x:c>
      <x:c r="E32" s="64" t="n">
        <x:v>280</x:v>
      </x:c>
      <x:c r="F32" s="64" t="n">
        <x:v>280</x:v>
      </x:c>
      <x:c r="G32" s="64" t="n">
        <x:f>F32-E32</x:f>
        <x:v>0</x:v>
      </x:c>
      <x:c r="H32" s="64" t="n">
        <x:v>0</x:v>
      </x:c>
      <x:c r="I32" s="64" t="n">
        <x:v>0</x:v>
      </x:c>
    </x:row>
    <x:row r="33">
      <x:c r="A33" t="str">
        <x:v>LRCX@FY2020</x:v>
      </x:c>
      <x:c r="B33" t="str">
        <x:v>FY2021</x:v>
      </x:c>
      <x:c r="C33" t="n">
        <x:v>1</x:v>
      </x:c>
      <x:c r="D33" t="str">
        <x:v>营业收入</x:v>
      </x:c>
      <x:c r="E33" s="64" t="n">
        <x:v>14</x:v>
      </x:c>
      <x:c r="F33" s="64" t="n">
        <x:v>14</x:v>
      </x:c>
      <x:c r="G33" s="64" t="n">
        <x:f>F33-E33</x:f>
        <x:v>0</x:v>
      </x:c>
      <x:c r="H33" s="64" t="n">
        <x:v>0</x:v>
      </x:c>
      <x:c r="I33" s="64" t="n">
        <x:v>0</x:v>
      </x:c>
    </x:row>
    <x:row r="34">
      <x:c r="A34" t="str">
        <x:v>LRCX@FY2020</x:v>
      </x:c>
      <x:c r="B34" t="str">
        <x:v>FY2021</x:v>
      </x:c>
      <x:c r="C34" t="n">
        <x:v>1</x:v>
      </x:c>
      <x:c r="D34" t="str">
        <x:v>营业利润</x:v>
      </x:c>
      <x:c r="E34" s="64" t="n">
        <x:v>4.2</x:v>
      </x:c>
      <x:c r="F34" s="64" t="n">
        <x:v>4.2</x:v>
      </x:c>
      <x:c r="G34" s="64" t="n">
        <x:f>F34-E34</x:f>
        <x:v>0</x:v>
      </x:c>
      <x:c r="H34" s="64" t="n">
        <x:v>0</x:v>
      </x:c>
      <x:c r="I34" s="64" t="n">
        <x:v>0</x:v>
      </x:c>
    </x:row>
    <x:row r="35">
      <x:c r="A35" t="str">
        <x:v>LRCX@FY2020</x:v>
      </x:c>
      <x:c r="B35" t="str">
        <x:v>FY2022</x:v>
      </x:c>
      <x:c r="C35" t="n">
        <x:v>2</x:v>
      </x:c>
      <x:c r="D35" t="str">
        <x:v>营业收入</x:v>
      </x:c>
      <x:c r="E35" s="64" t="n">
        <x:v>16.5</x:v>
      </x:c>
      <x:c r="F35" s="64" t="n">
        <x:v>16.5</x:v>
      </x:c>
      <x:c r="G35" s="64" t="n">
        <x:f>F35-E35</x:f>
        <x:v>0</x:v>
      </x:c>
      <x:c r="H35" s="64" t="n">
        <x:v>0</x:v>
      </x:c>
      <x:c r="I35" s="64" t="n">
        <x:v>0</x:v>
      </x:c>
    </x:row>
    <x:row r="36">
      <x:c r="A36" t="str">
        <x:v>LRCX@FY2020</x:v>
      </x:c>
      <x:c r="B36" t="str">
        <x:v>FY2022</x:v>
      </x:c>
      <x:c r="C36" t="n">
        <x:v>2</x:v>
      </x:c>
      <x:c r="D36" t="str">
        <x:v>营业利润</x:v>
      </x:c>
      <x:c r="E36" s="64" t="n">
        <x:v>5</x:v>
      </x:c>
      <x:c r="F36" s="64" t="n">
        <x:v>5</x:v>
      </x:c>
      <x:c r="G36" s="64" t="n">
        <x:f>F36-E36</x:f>
        <x:v>0</x:v>
      </x:c>
      <x:c r="H36" s="64" t="n">
        <x:v>0</x:v>
      </x:c>
      <x:c r="I36" s="64" t="n">
        <x:v>0</x:v>
      </x:c>
    </x:row>
    <x:row r="37">
      <x:c r="A37" t="str">
        <x:v>LRCX@FY2020</x:v>
      </x:c>
      <x:c r="B37" t="str">
        <x:v>FY2023</x:v>
      </x:c>
      <x:c r="C37" t="n">
        <x:v>3</x:v>
      </x:c>
      <x:c r="D37" t="str">
        <x:v>营业收入</x:v>
      </x:c>
      <x:c r="E37" s="64" t="n">
        <x:v>17.1</x:v>
      </x:c>
      <x:c r="F37" s="64" t="n">
        <x:v>17.1</x:v>
      </x:c>
      <x:c r="G37" s="64" t="n">
        <x:f>F37-E37</x:f>
        <x:v>0</x:v>
      </x:c>
      <x:c r="H37" s="64" t="n">
        <x:v>0</x:v>
      </x:c>
      <x:c r="I37" s="64" t="n">
        <x:v>0</x:v>
      </x:c>
    </x:row>
    <x:row r="38">
      <x:c r="A38" t="str">
        <x:v>LRCX@FY2020</x:v>
      </x:c>
      <x:c r="B38" t="str">
        <x:v>FY2023</x:v>
      </x:c>
      <x:c r="C38" t="n">
        <x:v>3</x:v>
      </x:c>
      <x:c r="D38" t="str">
        <x:v>营业利润</x:v>
      </x:c>
      <x:c r="E38" s="64" t="n">
        <x:v>5.1</x:v>
      </x:c>
      <x:c r="F38" s="64" t="n">
        <x:v>5.1</x:v>
      </x:c>
      <x:c r="G38" s="64" t="n">
        <x:f>F38-E38</x:f>
        <x:v>0</x:v>
      </x:c>
      <x:c r="H38" s="64" t="n">
        <x:v>0</x:v>
      </x:c>
      <x:c r="I38" s="64" t="n">
        <x:v>0</x:v>
      </x:c>
    </x:row>
    <x:row r="39">
      <x:c r="A39" t="str">
        <x:v>ASML@FY2020</x:v>
      </x:c>
      <x:c r="B39" t="str">
        <x:v>FY2021</x:v>
      </x:c>
      <x:c r="C39" t="n">
        <x:v>1</x:v>
      </x:c>
      <x:c r="D39" t="str">
        <x:v>营业收入</x:v>
      </x:c>
      <x:c r="E39" s="64" t="n">
        <x:v>18</x:v>
      </x:c>
      <x:c r="F39" s="64" t="n">
        <x:v>18</x:v>
      </x:c>
      <x:c r="G39" s="64" t="n">
        <x:f>F39-E39</x:f>
        <x:v>0</x:v>
      </x:c>
      <x:c r="H39" s="64" t="n">
        <x:v>0</x:v>
      </x:c>
      <x:c r="I39" s="64" t="n">
        <x:v>0</x:v>
      </x:c>
    </x:row>
    <x:row r="40">
      <x:c r="A40" t="str">
        <x:v>ASML@FY2020</x:v>
      </x:c>
      <x:c r="B40" t="str">
        <x:v>FY2021</x:v>
      </x:c>
      <x:c r="C40" t="n">
        <x:v>1</x:v>
      </x:c>
      <x:c r="D40" t="str">
        <x:v>净利润</x:v>
      </x:c>
      <x:c r="E40" s="64" t="n">
        <x:v>5.5</x:v>
      </x:c>
      <x:c r="F40" s="64" t="n">
        <x:v>5.5</x:v>
      </x:c>
      <x:c r="G40" s="64" t="n">
        <x:f>F40-E40</x:f>
        <x:v>0</x:v>
      </x:c>
      <x:c r="H40" s="64" t="n">
        <x:v>0</x:v>
      </x:c>
      <x:c r="I40" s="64" t="n">
        <x:v>0</x:v>
      </x:c>
    </x:row>
    <x:row r="41">
      <x:c r="A41" t="str">
        <x:v>ASML@FY2020</x:v>
      </x:c>
      <x:c r="B41" t="str">
        <x:v>FY2022</x:v>
      </x:c>
      <x:c r="C41" t="n">
        <x:v>2</x:v>
      </x:c>
      <x:c r="D41" t="str">
        <x:v>营业收入</x:v>
      </x:c>
      <x:c r="E41" s="64" t="n">
        <x:v>21.5</x:v>
      </x:c>
      <x:c r="F41" s="64" t="n">
        <x:v>21.5</x:v>
      </x:c>
      <x:c r="G41" s="64" t="n">
        <x:f>F41-E41</x:f>
        <x:v>0</x:v>
      </x:c>
      <x:c r="H41" s="64" t="n">
        <x:v>0</x:v>
      </x:c>
      <x:c r="I41" s="64" t="n">
        <x:v>0</x:v>
      </x:c>
    </x:row>
    <x:row r="42">
      <x:c r="A42" t="str">
        <x:v>ASML@FY2020</x:v>
      </x:c>
      <x:c r="B42" t="str">
        <x:v>FY2022</x:v>
      </x:c>
      <x:c r="C42" t="n">
        <x:v>2</x:v>
      </x:c>
      <x:c r="D42" t="str">
        <x:v>净利润</x:v>
      </x:c>
      <x:c r="E42" s="64" t="n">
        <x:v>5.9</x:v>
      </x:c>
      <x:c r="F42" s="64" t="n">
        <x:v>5.9</x:v>
      </x:c>
      <x:c r="G42" s="64" t="n">
        <x:f>F42-E42</x:f>
        <x:v>0</x:v>
      </x:c>
      <x:c r="H42" s="64" t="n">
        <x:v>0</x:v>
      </x:c>
      <x:c r="I42" s="64" t="n">
        <x:v>0</x:v>
      </x:c>
    </x:row>
    <x:row r="43">
      <x:c r="A43" t="str">
        <x:v>ASML@FY2020</x:v>
      </x:c>
      <x:c r="B43" t="str">
        <x:v>FY2023</x:v>
      </x:c>
      <x:c r="C43" t="n">
        <x:v>3</x:v>
      </x:c>
      <x:c r="D43" t="str">
        <x:v>营业收入</x:v>
      </x:c>
      <x:c r="E43" s="64" t="n">
        <x:v>26</x:v>
      </x:c>
      <x:c r="F43" s="64" t="n">
        <x:v>26</x:v>
      </x:c>
      <x:c r="G43" s="64" t="n">
        <x:f>F43-E43</x:f>
        <x:v>0</x:v>
      </x:c>
      <x:c r="H43" s="64" t="n">
        <x:v>0</x:v>
      </x:c>
      <x:c r="I43" s="64" t="n">
        <x:v>0</x:v>
      </x:c>
    </x:row>
    <x:row r="44">
      <x:c r="A44" t="str">
        <x:v>ASML@FY2020</x:v>
      </x:c>
      <x:c r="B44" t="str">
        <x:v>FY2023</x:v>
      </x:c>
      <x:c r="C44" t="n">
        <x:v>3</x:v>
      </x:c>
      <x:c r="D44" t="str">
        <x:v>净利润</x:v>
      </x:c>
      <x:c r="E44" s="64" t="n">
        <x:v>7.2</x:v>
      </x:c>
      <x:c r="F44" s="64" t="n">
        <x:v>7.2</x:v>
      </x:c>
      <x:c r="G44" s="64" t="n">
        <x:f>F44-E44</x:f>
        <x:v>0</x:v>
      </x:c>
      <x:c r="H44" s="64" t="n">
        <x:v>0</x:v>
      </x:c>
      <x:c r="I44" s="64" t="n">
        <x:v>0</x:v>
      </x:c>
    </x:row>
    <x:row r="45">
      <x:c r="A45" t="str">
        <x:v>TSMC@2018</x:v>
      </x:c>
      <x:c r="B45" t="str">
        <x:v>2019</x:v>
      </x:c>
      <x:c r="C45" t="n">
        <x:v>1</x:v>
      </x:c>
      <x:c r="D45" t="str">
        <x:v>营业收入</x:v>
      </x:c>
      <x:c r="E45" s="64" t="n">
        <x:v>1050</x:v>
      </x:c>
      <x:c r="F45" s="64" t="n">
        <x:v>1050</x:v>
      </x:c>
      <x:c r="G45" s="64" t="n">
        <x:f>F45-E45</x:f>
        <x:v>0</x:v>
      </x:c>
      <x:c r="H45" s="64" t="n">
        <x:v>0</x:v>
      </x:c>
      <x:c r="I45" s="64" t="n">
        <x:v>0</x:v>
      </x:c>
    </x:row>
    <x:row r="46">
      <x:c r="A46" t="str">
        <x:v>TSMC@2018</x:v>
      </x:c>
      <x:c r="B46" t="str">
        <x:v>2019</x:v>
      </x:c>
      <x:c r="C46" t="n">
        <x:v>1</x:v>
      </x:c>
      <x:c r="D46" t="str">
        <x:v>净利润</x:v>
      </x:c>
      <x:c r="E46" s="64" t="n">
        <x:v>340</x:v>
      </x:c>
      <x:c r="F46" s="64" t="n">
        <x:v>340</x:v>
      </x:c>
      <x:c r="G46" s="64" t="n">
        <x:f>F46-E46</x:f>
        <x:v>0</x:v>
      </x:c>
      <x:c r="H46" s="64" t="n">
        <x:v>0</x:v>
      </x:c>
      <x:c r="I46" s="64" t="n">
        <x:v>0</x:v>
      </x:c>
    </x:row>
    <x:row r="47">
      <x:c r="A47" t="str">
        <x:v>TSMC@2018</x:v>
      </x:c>
      <x:c r="B47" t="str">
        <x:v>2020</x:v>
      </x:c>
      <x:c r="C47" t="n">
        <x:v>2</x:v>
      </x:c>
      <x:c r="D47" t="str">
        <x:v>营业收入</x:v>
      </x:c>
      <x:c r="E47" s="64" t="n">
        <x:v>1280</x:v>
      </x:c>
      <x:c r="F47" s="64" t="n">
        <x:v>1280</x:v>
      </x:c>
      <x:c r="G47" s="64" t="n">
        <x:f>F47-E47</x:f>
        <x:v>0</x:v>
      </x:c>
      <x:c r="H47" s="64" t="n">
        <x:v>0</x:v>
      </x:c>
      <x:c r="I47" s="64" t="n">
        <x:v>0</x:v>
      </x:c>
    </x:row>
    <x:row r="48">
      <x:c r="A48" t="str">
        <x:v>TSMC@2018</x:v>
      </x:c>
      <x:c r="B48" t="str">
        <x:v>2020</x:v>
      </x:c>
      <x:c r="C48" t="n">
        <x:v>2</x:v>
      </x:c>
      <x:c r="D48" t="str">
        <x:v>净利润</x:v>
      </x:c>
      <x:c r="E48" s="64" t="n">
        <x:v>480</x:v>
      </x:c>
      <x:c r="F48" s="64" t="n">
        <x:v>480</x:v>
      </x:c>
      <x:c r="G48" s="64" t="n">
        <x:f>F48-E48</x:f>
        <x:v>0</x:v>
      </x:c>
      <x:c r="H48" s="64" t="n">
        <x:v>0</x:v>
      </x:c>
      <x:c r="I48" s="64" t="n">
        <x:v>0</x:v>
      </x:c>
    </x:row>
    <x:row r="49">
      <x:c r="A49" t="str">
        <x:v>TSMC@2018</x:v>
      </x:c>
      <x:c r="B49" t="str">
        <x:v>2021</x:v>
      </x:c>
      <x:c r="C49" t="n">
        <x:v>3</x:v>
      </x:c>
      <x:c r="D49" t="str">
        <x:v>营业收入</x:v>
      </x:c>
      <x:c r="E49" s="64" t="n">
        <x:v>1500</x:v>
      </x:c>
      <x:c r="F49" s="64" t="n">
        <x:v>1500</x:v>
      </x:c>
      <x:c r="G49" s="64" t="n">
        <x:f>F49-E49</x:f>
        <x:v>0</x:v>
      </x:c>
      <x:c r="H49" s="64" t="n">
        <x:v>0</x:v>
      </x:c>
      <x:c r="I49" s="64" t="n">
        <x:v>0</x:v>
      </x:c>
    </x:row>
    <x:row r="50">
      <x:c r="A50" t="str">
        <x:v>TSMC@2018</x:v>
      </x:c>
      <x:c r="B50" t="str">
        <x:v>2021</x:v>
      </x:c>
      <x:c r="C50" t="n">
        <x:v>3</x:v>
      </x:c>
      <x:c r="D50" t="str">
        <x:v>净利润</x:v>
      </x:c>
      <x:c r="E50" s="64" t="n">
        <x:v>560</x:v>
      </x:c>
      <x:c r="F50" s="64" t="n">
        <x:v>560</x:v>
      </x:c>
      <x:c r="G50" s="64" t="n">
        <x:f>F50-E50</x:f>
        <x:v>0</x:v>
      </x:c>
      <x:c r="H50" s="64" t="n">
        <x:v>0</x:v>
      </x:c>
      <x:c r="I50" s="64" t="n">
        <x:v>0</x:v>
      </x:c>
    </x:row>
    <x:row r="51">
      <x:c r="A51" t="str">
        <x:v>NVDA@FY2018</x:v>
      </x:c>
      <x:c r="B51" t="str">
        <x:v>FY2019</x:v>
      </x:c>
      <x:c r="C51" t="n">
        <x:v>1</x:v>
      </x:c>
      <x:c r="D51" t="str">
        <x:v>营业收入</x:v>
      </x:c>
      <x:c r="E51" s="64" t="n">
        <x:v>11.5</x:v>
      </x:c>
      <x:c r="F51" s="64" t="n">
        <x:v>11.5</x:v>
      </x:c>
      <x:c r="G51" s="64" t="n">
        <x:f>F51-E51</x:f>
        <x:v>0</x:v>
      </x:c>
      <x:c r="H51" s="64" t="n">
        <x:v>0</x:v>
      </x:c>
      <x:c r="I51" s="64" t="n">
        <x:v>0</x:v>
      </x:c>
    </x:row>
    <x:row r="52">
      <x:c r="A52" t="str">
        <x:v>NVDA@FY2018</x:v>
      </x:c>
      <x:c r="B52" t="str">
        <x:v>FY2019</x:v>
      </x:c>
      <x:c r="C52" t="n">
        <x:v>1</x:v>
      </x:c>
      <x:c r="D52" t="str">
        <x:v>营业利润</x:v>
      </x:c>
      <x:c r="E52" s="64" t="n">
        <x:v>3.7</x:v>
      </x:c>
      <x:c r="F52" s="64" t="n">
        <x:v>3.7</x:v>
      </x:c>
      <x:c r="G52" s="64" t="n">
        <x:f>F52-E52</x:f>
        <x:v>0</x:v>
      </x:c>
      <x:c r="H52" s="64" t="n">
        <x:v>0</x:v>
      </x:c>
      <x:c r="I52" s="64" t="n">
        <x:v>0</x:v>
      </x:c>
    </x:row>
    <x:row r="53">
      <x:c r="A53" t="str">
        <x:v>NVDA@FY2018</x:v>
      </x:c>
      <x:c r="B53" t="str">
        <x:v>FY2020</x:v>
      </x:c>
      <x:c r="C53" t="n">
        <x:v>2</x:v>
      </x:c>
      <x:c r="D53" t="str">
        <x:v>营业收入</x:v>
      </x:c>
      <x:c r="E53" s="64" t="n">
        <x:v>10.5</x:v>
      </x:c>
      <x:c r="F53" s="64" t="n">
        <x:v>10.5</x:v>
      </x:c>
      <x:c r="G53" s="64" t="n">
        <x:f>F53-E53</x:f>
        <x:v>0</x:v>
      </x:c>
      <x:c r="H53" s="64" t="n">
        <x:v>0</x:v>
      </x:c>
      <x:c r="I53" s="64" t="n">
        <x:v>0</x:v>
      </x:c>
    </x:row>
    <x:row r="54">
      <x:c r="A54" t="str">
        <x:v>NVDA@FY2018</x:v>
      </x:c>
      <x:c r="B54" t="str">
        <x:v>FY2020</x:v>
      </x:c>
      <x:c r="C54" t="n">
        <x:v>2</x:v>
      </x:c>
      <x:c r="D54" t="str">
        <x:v>营业利润</x:v>
      </x:c>
      <x:c r="E54" s="64" t="n">
        <x:v>2.6</x:v>
      </x:c>
      <x:c r="F54" s="64" t="n">
        <x:v>2.6</x:v>
      </x:c>
      <x:c r="G54" s="64" t="n">
        <x:f>F54-E54</x:f>
        <x:v>0</x:v>
      </x:c>
      <x:c r="H54" s="64" t="n">
        <x:v>0</x:v>
      </x:c>
      <x:c r="I54" s="64" t="n">
        <x:v>0</x:v>
      </x:c>
    </x:row>
    <x:row r="55">
      <x:c r="A55" t="str">
        <x:v>NVDA@FY2018</x:v>
      </x:c>
      <x:c r="B55" t="str">
        <x:v>FY2021</x:v>
      </x:c>
      <x:c r="C55" t="n">
        <x:v>3</x:v>
      </x:c>
      <x:c r="D55" t="str">
        <x:v>营业收入</x:v>
      </x:c>
      <x:c r="E55" s="64" t="n">
        <x:v>15.5</x:v>
      </x:c>
      <x:c r="F55" s="64" t="n">
        <x:v>15.5</x:v>
      </x:c>
      <x:c r="G55" s="64" t="n">
        <x:f>F55-E55</x:f>
        <x:v>0</x:v>
      </x:c>
      <x:c r="H55" s="64" t="n">
        <x:v>0</x:v>
      </x:c>
      <x:c r="I55" s="64" t="n">
        <x:v>0</x:v>
      </x:c>
    </x:row>
    <x:row r="56">
      <x:c r="A56" t="str">
        <x:v>NVDA@FY2018</x:v>
      </x:c>
      <x:c r="B56" t="str">
        <x:v>FY2021</x:v>
      </x:c>
      <x:c r="C56" t="n">
        <x:v>3</x:v>
      </x:c>
      <x:c r="D56" t="str">
        <x:v>营业利润</x:v>
      </x:c>
      <x:c r="E56" s="64" t="n">
        <x:v>4.2</x:v>
      </x:c>
      <x:c r="F56" s="64" t="n">
        <x:v>4.2</x:v>
      </x:c>
      <x:c r="G56" s="64" t="n">
        <x:f>F56-E56</x:f>
        <x:v>0</x:v>
      </x:c>
      <x:c r="H56" s="64" t="n">
        <x:v>0</x:v>
      </x:c>
      <x:c r="I56" s="64" t="n">
        <x:v>0</x:v>
      </x:c>
    </x:row>
    <x:row r="57">
      <x:c r="A57" t="str">
        <x:v>MU@FY2020</x:v>
      </x:c>
      <x:c r="B57" t="str">
        <x:v>FY2021</x:v>
      </x:c>
      <x:c r="C57" t="n">
        <x:v>1</x:v>
      </x:c>
      <x:c r="D57" t="str">
        <x:v>营业收入</x:v>
      </x:c>
      <x:c r="E57" s="64" t="n">
        <x:v>27.2</x:v>
      </x:c>
      <x:c r="F57" s="64" t="n">
        <x:v>27.2</x:v>
      </x:c>
      <x:c r="G57" s="64" t="n">
        <x:f>F57-E57</x:f>
        <x:v>0</x:v>
      </x:c>
      <x:c r="H57" s="64" t="n">
        <x:v>0</x:v>
      </x:c>
      <x:c r="I57" s="64" t="n">
        <x:v>0</x:v>
      </x:c>
    </x:row>
    <x:row r="58">
      <x:c r="A58" t="str">
        <x:v>MU@FY2020</x:v>
      </x:c>
      <x:c r="B58" t="str">
        <x:v>FY2021</x:v>
      </x:c>
      <x:c r="C58" t="n">
        <x:v>1</x:v>
      </x:c>
      <x:c r="D58" t="str">
        <x:v>净利润</x:v>
      </x:c>
      <x:c r="E58" s="64" t="n">
        <x:v>5.45</x:v>
      </x:c>
      <x:c r="F58" s="64" t="n">
        <x:v>5.45</x:v>
      </x:c>
      <x:c r="G58" s="64" t="n">
        <x:f>F58-E58</x:f>
        <x:v>0</x:v>
      </x:c>
      <x:c r="H58" s="64" t="n">
        <x:v>0</x:v>
      </x:c>
      <x:c r="I58" s="64" t="n">
        <x:v>0</x:v>
      </x:c>
    </x:row>
    <x:row r="59">
      <x:c r="A59" t="str">
        <x:v>MU@FY2020</x:v>
      </x:c>
      <x:c r="B59" t="str">
        <x:v>FY2022</x:v>
      </x:c>
      <x:c r="C59" t="n">
        <x:v>2</x:v>
      </x:c>
      <x:c r="D59" t="str">
        <x:v>营业收入</x:v>
      </x:c>
      <x:c r="E59" s="64" t="n">
        <x:v>29.35</x:v>
      </x:c>
      <x:c r="F59" s="64" t="n">
        <x:v>29.35</x:v>
      </x:c>
      <x:c r="G59" s="64" t="n">
        <x:f>F59-E59</x:f>
        <x:v>0</x:v>
      </x:c>
      <x:c r="H59" s="64" t="n">
        <x:v>0</x:v>
      </x:c>
      <x:c r="I59" s="64" t="n">
        <x:v>0</x:v>
      </x:c>
    </x:row>
    <x:row r="60">
      <x:c r="A60" t="str">
        <x:v>MU@FY2020</x:v>
      </x:c>
      <x:c r="B60" t="str">
        <x:v>FY2022</x:v>
      </x:c>
      <x:c r="C60" t="n">
        <x:v>2</x:v>
      </x:c>
      <x:c r="D60" t="str">
        <x:v>净利润</x:v>
      </x:c>
      <x:c r="E60" s="64" t="n">
        <x:v>7.2</x:v>
      </x:c>
      <x:c r="F60" s="64" t="n">
        <x:v>7.2</x:v>
      </x:c>
      <x:c r="G60" s="64" t="n">
        <x:f>F60-E60</x:f>
        <x:v>0</x:v>
      </x:c>
      <x:c r="H60" s="64" t="n">
        <x:v>0</x:v>
      </x:c>
      <x:c r="I60" s="64" t="n">
        <x:v>0</x:v>
      </x:c>
    </x:row>
    <x:row r="61">
      <x:c r="A61" t="str">
        <x:v>MU@FY2020</x:v>
      </x:c>
      <x:c r="B61" t="str">
        <x:v>FY2023</x:v>
      </x:c>
      <x:c r="C61" t="n">
        <x:v>3</x:v>
      </x:c>
      <x:c r="D61" t="str">
        <x:v>营业收入</x:v>
      </x:c>
      <x:c r="E61" s="64" t="n">
        <x:v>21.2</x:v>
      </x:c>
      <x:c r="F61" s="64" t="n">
        <x:v>21.2</x:v>
      </x:c>
      <x:c r="G61" s="64" t="n">
        <x:f>F61-E61</x:f>
        <x:v>0</x:v>
      </x:c>
      <x:c r="H61" s="64" t="n">
        <x:v>0</x:v>
      </x:c>
      <x:c r="I61" s="64" t="n">
        <x:v>0</x:v>
      </x:c>
    </x:row>
    <x:row r="62">
      <x:c r="A62" t="str">
        <x:v>MU@FY2020</x:v>
      </x:c>
      <x:c r="B62" t="str">
        <x:v>FY2023</x:v>
      </x:c>
      <x:c r="C62" t="n">
        <x:v>3</x:v>
      </x:c>
      <x:c r="D62" t="str">
        <x:v>净利润</x:v>
      </x:c>
      <x:c r="E62" s="64" t="n">
        <x:v>-1</x:v>
      </x:c>
      <x:c r="F62" s="64" t="n">
        <x:v>-1</x:v>
      </x:c>
      <x:c r="G62" s="64" t="n">
        <x:f>F62-E62</x:f>
        <x:v>0</x:v>
      </x:c>
      <x:c r="H62" s="64" t="n">
        <x:v>0</x:v>
      </x:c>
      <x:c r="I62" s="64" t="n">
        <x:v>0</x:v>
      </x:c>
    </x:row>
    <x:row r="63">
      <x:c r="A63" t="str">
        <x:v>WDC Flash@FY2020</x:v>
      </x:c>
      <x:c r="B63" t="str">
        <x:v>FY2021</x:v>
      </x:c>
      <x:c r="C63" t="n">
        <x:v>1</x:v>
      </x:c>
      <x:c r="D63" t="str">
        <x:v>营业收入</x:v>
      </x:c>
      <x:c r="E63" s="64" t="n">
        <x:v>8.49</x:v>
      </x:c>
      <x:c r="F63" s="64" t="n">
        <x:v>8.49</x:v>
      </x:c>
      <x:c r="G63" s="64" t="n">
        <x:f>F63-E63</x:f>
        <x:v>0</x:v>
      </x:c>
      <x:c r="H63" s="64" t="n">
        <x:v>0</x:v>
      </x:c>
      <x:c r="I63" s="64" t="n">
        <x:v>0</x:v>
      </x:c>
    </x:row>
    <x:row r="64">
      <x:c r="A64" t="str">
        <x:v>WDC Flash@FY2020</x:v>
      </x:c>
      <x:c r="B64" t="str">
        <x:v>FY2021</x:v>
      </x:c>
      <x:c r="C64" t="n">
        <x:v>1</x:v>
      </x:c>
      <x:c r="D64" t="str">
        <x:v>毛利润</x:v>
      </x:c>
      <x:c r="E64" s="64" t="n">
        <x:v>2.43</x:v>
      </x:c>
      <x:c r="F64" s="64" t="n">
        <x:v>2.43</x:v>
      </x:c>
      <x:c r="G64" s="64" t="n">
        <x:f>F64-E64</x:f>
        <x:v>0</x:v>
      </x:c>
      <x:c r="H64" s="64" t="n">
        <x:v>0</x:v>
      </x:c>
      <x:c r="I64" s="64" t="n">
        <x:v>0</x:v>
      </x:c>
    </x:row>
    <x:row r="65">
      <x:c r="A65" t="str">
        <x:v>WDC Flash@FY2020</x:v>
      </x:c>
      <x:c r="B65" t="str">
        <x:v>FY2022</x:v>
      </x:c>
      <x:c r="C65" t="n">
        <x:v>2</x:v>
      </x:c>
      <x:c r="D65" t="str">
        <x:v>营业收入</x:v>
      </x:c>
      <x:c r="E65" s="64" t="n">
        <x:v>8.86</x:v>
      </x:c>
      <x:c r="F65" s="64" t="n">
        <x:v>8.86</x:v>
      </x:c>
      <x:c r="G65" s="64" t="n">
        <x:f>F65-E65</x:f>
        <x:v>0</x:v>
      </x:c>
      <x:c r="H65" s="64" t="n">
        <x:v>0</x:v>
      </x:c>
      <x:c r="I65" s="64" t="n">
        <x:v>0</x:v>
      </x:c>
    </x:row>
    <x:row r="66">
      <x:c r="A66" t="str">
        <x:v>WDC Flash@FY2020</x:v>
      </x:c>
      <x:c r="B66" t="str">
        <x:v>FY2022</x:v>
      </x:c>
      <x:c r="C66" t="n">
        <x:v>2</x:v>
      </x:c>
      <x:c r="D66" t="str">
        <x:v>毛利润</x:v>
      </x:c>
      <x:c r="E66" s="64" t="n">
        <x:v>2.94</x:v>
      </x:c>
      <x:c r="F66" s="64" t="n">
        <x:v>2.94</x:v>
      </x:c>
      <x:c r="G66" s="64" t="n">
        <x:f>F66-E66</x:f>
        <x:v>0</x:v>
      </x:c>
      <x:c r="H66" s="64" t="n">
        <x:v>0</x:v>
      </x:c>
      <x:c r="I66" s="64" t="n">
        <x:v>0</x:v>
      </x:c>
    </x:row>
    <x:row r="67">
      <x:c r="A67" t="str">
        <x:v>WDC Flash@FY2020</x:v>
      </x:c>
      <x:c r="B67" t="str">
        <x:v>FY2023</x:v>
      </x:c>
      <x:c r="C67" t="n">
        <x:v>3</x:v>
      </x:c>
      <x:c r="D67" t="str">
        <x:v>营业收入</x:v>
      </x:c>
      <x:c r="E67" s="64" t="n">
        <x:v>6.84</x:v>
      </x:c>
      <x:c r="F67" s="64" t="n">
        <x:v>6.84</x:v>
      </x:c>
      <x:c r="G67" s="64" t="n">
        <x:f>F67-E67</x:f>
        <x:v>0</x:v>
      </x:c>
      <x:c r="H67" s="64" t="n">
        <x:v>0</x:v>
      </x:c>
      <x:c r="I67" s="64" t="n">
        <x:v>0</x:v>
      </x:c>
    </x:row>
    <x:row r="68">
      <x:c r="A68" t="str">
        <x:v>WDC Flash@FY2020</x:v>
      </x:c>
      <x:c r="B68" t="str">
        <x:v>FY2023</x:v>
      </x:c>
      <x:c r="C68" t="n">
        <x:v>3</x:v>
      </x:c>
      <x:c r="D68" t="str">
        <x:v>毛利润</x:v>
      </x:c>
      <x:c r="E68" s="64" t="n">
        <x:v>0.95</x:v>
      </x:c>
      <x:c r="F68" s="64" t="n">
        <x:v>0.95</x:v>
      </x:c>
      <x:c r="G68" s="64" t="n">
        <x:f>F68-E68</x:f>
        <x:v>0</x:v>
      </x:c>
      <x:c r="H68" s="64" t="n">
        <x:v>0</x:v>
      </x:c>
      <x:c r="I68" s="64" t="n">
        <x:v>0</x:v>
      </x:c>
    </x:row>
    <x:row r="69">
      <x:c r="A69" t="str">
        <x:v>SK hynix@FY2021</x:v>
      </x:c>
      <x:c r="B69" t="str">
        <x:v>FY2022</x:v>
      </x:c>
      <x:c r="C69" t="n">
        <x:v>1</x:v>
      </x:c>
      <x:c r="D69" t="str">
        <x:v>营业收入</x:v>
      </x:c>
      <x:c r="E69" s="64" t="n">
        <x:v>44.8</x:v>
      </x:c>
      <x:c r="F69" s="64" t="n">
        <x:v>44.8</x:v>
      </x:c>
      <x:c r="G69" s="64" t="n">
        <x:f>F69-E69</x:f>
        <x:v>0</x:v>
      </x:c>
      <x:c r="H69" s="64" t="n">
        <x:v>0</x:v>
      </x:c>
      <x:c r="I69" s="64" t="n">
        <x:v>0</x:v>
      </x:c>
    </x:row>
    <x:row r="70">
      <x:c r="A70" t="str">
        <x:v>SK hynix@FY2021</x:v>
      </x:c>
      <x:c r="B70" t="str">
        <x:v>FY2022</x:v>
      </x:c>
      <x:c r="C70" t="n">
        <x:v>1</x:v>
      </x:c>
      <x:c r="D70" t="str">
        <x:v>营业利润</x:v>
      </x:c>
      <x:c r="E70" s="64" t="n">
        <x:v>7.65</x:v>
      </x:c>
      <x:c r="F70" s="64" t="n">
        <x:v>7.65</x:v>
      </x:c>
      <x:c r="G70" s="64" t="n">
        <x:f>F70-E70</x:f>
        <x:v>0</x:v>
      </x:c>
      <x:c r="H70" s="64" t="n">
        <x:v>0</x:v>
      </x:c>
      <x:c r="I70" s="64" t="n">
        <x:v>0</x:v>
      </x:c>
    </x:row>
    <x:row r="71">
      <x:c r="A71" t="str">
        <x:v>SK hynix@FY2021</x:v>
      </x:c>
      <x:c r="B71" t="str">
        <x:v>FY2023</x:v>
      </x:c>
      <x:c r="C71" t="n">
        <x:v>2</x:v>
      </x:c>
      <x:c r="D71" t="str">
        <x:v>营业收入</x:v>
      </x:c>
      <x:c r="E71" s="64" t="n">
        <x:v>35.2</x:v>
      </x:c>
      <x:c r="F71" s="64" t="n">
        <x:v>35.2</x:v>
      </x:c>
      <x:c r="G71" s="64" t="n">
        <x:f>F71-E71</x:f>
        <x:v>0</x:v>
      </x:c>
      <x:c r="H71" s="64" t="n">
        <x:v>0</x:v>
      </x:c>
      <x:c r="I71" s="64" t="n">
        <x:v>0</x:v>
      </x:c>
    </x:row>
    <x:row r="72">
      <x:c r="A72" t="str">
        <x:v>SK hynix@FY2021</x:v>
      </x:c>
      <x:c r="B72" t="str">
        <x:v>FY2023</x:v>
      </x:c>
      <x:c r="C72" t="n">
        <x:v>2</x:v>
      </x:c>
      <x:c r="D72" t="str">
        <x:v>营业利润</x:v>
      </x:c>
      <x:c r="E72" s="64" t="n">
        <x:v>-3.6</x:v>
      </x:c>
      <x:c r="F72" s="64" t="n">
        <x:v>-3.6</x:v>
      </x:c>
      <x:c r="G72" s="64" t="n">
        <x:f>F72-E72</x:f>
        <x:v>0</x:v>
      </x:c>
      <x:c r="H72" s="64" t="n">
        <x:v>0</x:v>
      </x:c>
      <x:c r="I72" s="64" t="n">
        <x:v>0</x:v>
      </x:c>
    </x:row>
    <x:row r="73">
      <x:c r="A73" t="str">
        <x:v>SK hynix@FY2021</x:v>
      </x:c>
      <x:c r="B73" t="str">
        <x:v>FY2024</x:v>
      </x:c>
      <x:c r="C73" t="n">
        <x:v>3</x:v>
      </x:c>
      <x:c r="D73" t="str">
        <x:v>营业收入</x:v>
      </x:c>
      <x:c r="E73" s="64" t="n">
        <x:v>55.3</x:v>
      </x:c>
      <x:c r="F73" s="64" t="n">
        <x:v>55.3</x:v>
      </x:c>
      <x:c r="G73" s="64" t="n">
        <x:f>F73-E73</x:f>
        <x:v>0</x:v>
      </x:c>
      <x:c r="H73" s="64" t="n">
        <x:v>0</x:v>
      </x:c>
      <x:c r="I73" s="64" t="n">
        <x:v>0</x:v>
      </x:c>
    </x:row>
    <x:row r="74">
      <x:c r="A74" t="str">
        <x:v>SK hynix@FY2021</x:v>
      </x:c>
      <x:c r="B74" t="str">
        <x:v>FY2024</x:v>
      </x:c>
      <x:c r="C74" t="n">
        <x:v>3</x:v>
      </x:c>
      <x:c r="D74" t="str">
        <x:v>营业利润</x:v>
      </x:c>
      <x:c r="E74" s="64" t="n">
        <x:v>13.5</x:v>
      </x:c>
      <x:c r="F74" s="64" t="n">
        <x:v>13.5</x:v>
      </x:c>
      <x:c r="G74" s="64" t="n">
        <x:f>F74-E74</x:f>
        <x:v>0</x:v>
      </x:c>
      <x:c r="H74" s="64" t="n">
        <x:v>0</x:v>
      </x:c>
      <x:c r="I74" s="64" t="n">
        <x:v>0</x:v>
      </x:c>
    </x:row>
    <x:row r="75">
      <x:c r="A75" t="str">
        <x:v>Kioxia@FY2020</x:v>
      </x:c>
      <x:c r="B75" t="str">
        <x:v>FY2021</x:v>
      </x:c>
      <x:c r="C75" t="n">
        <x:v>1</x:v>
      </x:c>
      <x:c r="D75" t="str">
        <x:v>营业收入</x:v>
      </x:c>
      <x:c r="E75" s="64" t="n">
        <x:v>1480</x:v>
      </x:c>
      <x:c r="F75" s="64" t="n">
        <x:v>1480</x:v>
      </x:c>
      <x:c r="G75" s="64" t="n">
        <x:f>F75-E75</x:f>
        <x:v>0</x:v>
      </x:c>
      <x:c r="H75" s="64" t="n">
        <x:v>0</x:v>
      </x:c>
      <x:c r="I75" s="64" t="n">
        <x:v>0</x:v>
      </x:c>
    </x:row>
    <x:row r="76">
      <x:c r="A76" t="str">
        <x:v>Kioxia@FY2020</x:v>
      </x:c>
      <x:c r="B76" t="str">
        <x:v>FY2021</x:v>
      </x:c>
      <x:c r="C76" t="n">
        <x:v>1</x:v>
      </x:c>
      <x:c r="D76" t="str">
        <x:v>营业利润</x:v>
      </x:c>
      <x:c r="E76" s="64" t="n">
        <x:v>180</x:v>
      </x:c>
      <x:c r="F76" s="64" t="n">
        <x:v>180</x:v>
      </x:c>
      <x:c r="G76" s="64" t="n">
        <x:f>F76-E76</x:f>
        <x:v>0</x:v>
      </x:c>
      <x:c r="H76" s="64" t="n">
        <x:v>0</x:v>
      </x:c>
      <x:c r="I76" s="64" t="n">
        <x:v>0</x:v>
      </x:c>
    </x:row>
    <x:row r="77">
      <x:c r="A77" t="str">
        <x:v>Kioxia@FY2020</x:v>
      </x:c>
      <x:c r="B77" t="str">
        <x:v>FY2022</x:v>
      </x:c>
      <x:c r="C77" t="n">
        <x:v>2</x:v>
      </x:c>
      <x:c r="D77" t="str">
        <x:v>营业收入</x:v>
      </x:c>
      <x:c r="E77" s="64" t="n">
        <x:v>1320</x:v>
      </x:c>
      <x:c r="F77" s="64" t="n">
        <x:v>1320</x:v>
      </x:c>
      <x:c r="G77" s="64" t="n">
        <x:f>F77-E77</x:f>
        <x:v>0</x:v>
      </x:c>
      <x:c r="H77" s="64" t="n">
        <x:v>0</x:v>
      </x:c>
      <x:c r="I77" s="64" t="n">
        <x:v>0</x:v>
      </x:c>
    </x:row>
    <x:row r="78">
      <x:c r="A78" t="str">
        <x:v>Kioxia@FY2020</x:v>
      </x:c>
      <x:c r="B78" t="str">
        <x:v>FY2022</x:v>
      </x:c>
      <x:c r="C78" t="n">
        <x:v>2</x:v>
      </x:c>
      <x:c r="D78" t="str">
        <x:v>营业利润</x:v>
      </x:c>
      <x:c r="E78" s="64" t="n">
        <x:v>-40</x:v>
      </x:c>
      <x:c r="F78" s="64" t="n">
        <x:v>-40</x:v>
      </x:c>
      <x:c r="G78" s="64" t="n">
        <x:f>F78-E78</x:f>
        <x:v>0</x:v>
      </x:c>
      <x:c r="H78" s="64" t="n">
        <x:v>0</x:v>
      </x:c>
      <x:c r="I78" s="64" t="n">
        <x:v>0</x:v>
      </x:c>
    </x:row>
    <x:row r="79">
      <x:c r="A79" t="str">
        <x:v>Kioxia@FY2020</x:v>
      </x:c>
      <x:c r="B79" t="str">
        <x:v>FY2023</x:v>
      </x:c>
      <x:c r="C79" t="n">
        <x:v>3</x:v>
      </x:c>
      <x:c r="D79" t="str">
        <x:v>营业收入</x:v>
      </x:c>
      <x:c r="E79" s="64" t="n">
        <x:v>1120</x:v>
      </x:c>
      <x:c r="F79" s="64" t="n">
        <x:v>1120</x:v>
      </x:c>
      <x:c r="G79" s="64" t="n">
        <x:f>F79-E79</x:f>
        <x:v>0</x:v>
      </x:c>
      <x:c r="H79" s="64" t="n">
        <x:v>0</x:v>
      </x:c>
      <x:c r="I79" s="64" t="n">
        <x:v>0</x:v>
      </x:c>
    </x:row>
    <x:row r="80">
      <x:c r="A80" t="str">
        <x:v>Kioxia@FY2020</x:v>
      </x:c>
      <x:c r="B80" t="str">
        <x:v>FY2023</x:v>
      </x:c>
      <x:c r="C80" t="n">
        <x:v>3</x:v>
      </x:c>
      <x:c r="D80" t="str">
        <x:v>营业利润</x:v>
      </x:c>
      <x:c r="E80" s="64" t="n">
        <x:v>-180</x:v>
      </x:c>
      <x:c r="F80" s="64" t="n">
        <x:v>-180</x:v>
      </x:c>
      <x:c r="G80" s="64" t="n">
        <x:f>F80-E80</x:f>
        <x:v>0</x:v>
      </x:c>
      <x:c r="H80" s="64" t="n">
        <x:v>0</x:v>
      </x:c>
      <x:c r="I80" s="64" t="n">
        <x:v>0</x:v>
      </x:c>
    </x:row>
    <x:row r="81">
      <x:c r="A81" t="str">
        <x:v>LRCX@FY2022</x:v>
      </x:c>
      <x:c r="B81" t="str">
        <x:v>FY2023</x:v>
      </x:c>
      <x:c r="C81" t="n">
        <x:v>1</x:v>
      </x:c>
      <x:c r="D81" t="str">
        <x:v>营业收入</x:v>
      </x:c>
      <x:c r="E81" s="64" t="n">
        <x:v>17.2</x:v>
      </x:c>
      <x:c r="F81" s="64" t="n">
        <x:v>17.2</x:v>
      </x:c>
      <x:c r="G81" s="64" t="n">
        <x:f>F81-E81</x:f>
        <x:v>0</x:v>
      </x:c>
      <x:c r="H81" s="64" t="n">
        <x:v>0</x:v>
      </x:c>
      <x:c r="I81" s="64" t="n">
        <x:v>0</x:v>
      </x:c>
    </x:row>
    <x:row r="82">
      <x:c r="A82" t="str">
        <x:v>LRCX@FY2022</x:v>
      </x:c>
      <x:c r="B82" t="str">
        <x:v>FY2023</x:v>
      </x:c>
      <x:c r="C82" t="n">
        <x:v>1</x:v>
      </x:c>
      <x:c r="D82" t="str">
        <x:v>营业利润</x:v>
      </x:c>
      <x:c r="E82" s="64" t="n">
        <x:v>5.15</x:v>
      </x:c>
      <x:c r="F82" s="64" t="n">
        <x:v>5.15</x:v>
      </x:c>
      <x:c r="G82" s="64" t="n">
        <x:f>F82-E82</x:f>
        <x:v>0</x:v>
      </x:c>
      <x:c r="H82" s="64" t="n">
        <x:v>0</x:v>
      </x:c>
      <x:c r="I82" s="64" t="n">
        <x:v>0</x:v>
      </x:c>
    </x:row>
    <x:row r="83">
      <x:c r="A83" t="str">
        <x:v>LRCX@FY2022</x:v>
      </x:c>
      <x:c r="B83" t="str">
        <x:v>FY2024</x:v>
      </x:c>
      <x:c r="C83" t="n">
        <x:v>2</x:v>
      </x:c>
      <x:c r="D83" t="str">
        <x:v>营业收入</x:v>
      </x:c>
      <x:c r="E83" s="64" t="n">
        <x:v>15.3</x:v>
      </x:c>
      <x:c r="F83" s="64" t="n">
        <x:v>15.3</x:v>
      </x:c>
      <x:c r="G83" s="64" t="n">
        <x:f>F83-E83</x:f>
        <x:v>0</x:v>
      </x:c>
      <x:c r="H83" s="64" t="n">
        <x:v>0</x:v>
      </x:c>
      <x:c r="I83" s="64" t="n">
        <x:v>0</x:v>
      </x:c>
    </x:row>
    <x:row r="84">
      <x:c r="A84" t="str">
        <x:v>LRCX@FY2022</x:v>
      </x:c>
      <x:c r="B84" t="str">
        <x:v>FY2024</x:v>
      </x:c>
      <x:c r="C84" t="n">
        <x:v>2</x:v>
      </x:c>
      <x:c r="D84" t="str">
        <x:v>营业利润</x:v>
      </x:c>
      <x:c r="E84" s="64" t="n">
        <x:v>4.45</x:v>
      </x:c>
      <x:c r="F84" s="64" t="n">
        <x:v>4.45</x:v>
      </x:c>
      <x:c r="G84" s="64" t="n">
        <x:f>F84-E84</x:f>
        <x:v>0</x:v>
      </x:c>
      <x:c r="H84" s="64" t="n">
        <x:v>0</x:v>
      </x:c>
      <x:c r="I84" s="64" t="n">
        <x:v>0</x:v>
      </x:c>
    </x:row>
    <x:row r="85">
      <x:c r="A85" t="str">
        <x:v>LRCX@FY2022</x:v>
      </x:c>
      <x:c r="B85" t="str">
        <x:v>FY2025</x:v>
      </x:c>
      <x:c r="C85" t="n">
        <x:v>3</x:v>
      </x:c>
      <x:c r="D85" t="str">
        <x:v>营业收入</x:v>
      </x:c>
      <x:c r="E85" s="64" t="n">
        <x:v>17.8</x:v>
      </x:c>
      <x:c r="F85" s="64" t="n">
        <x:v>17.8</x:v>
      </x:c>
      <x:c r="G85" s="64" t="n">
        <x:f>F85-E85</x:f>
        <x:v>0</x:v>
      </x:c>
      <x:c r="H85" s="64" t="n">
        <x:v>0</x:v>
      </x:c>
      <x:c r="I85" s="64" t="n">
        <x:v>0</x:v>
      </x:c>
    </x:row>
    <x:row r="86">
      <x:c r="A86" t="str">
        <x:v>LRCX@FY2022</x:v>
      </x:c>
      <x:c r="B86" t="str">
        <x:v>FY2025</x:v>
      </x:c>
      <x:c r="C86" t="n">
        <x:v>3</x:v>
      </x:c>
      <x:c r="D86" t="str">
        <x:v>营业利润</x:v>
      </x:c>
      <x:c r="E86" s="64" t="n">
        <x:v>5.45</x:v>
      </x:c>
      <x:c r="F86" s="64" t="n">
        <x:v>5.45</x:v>
      </x:c>
      <x:c r="G86" s="64" t="n">
        <x:f>F86-E86</x:f>
        <x:v>0</x:v>
      </x:c>
      <x:c r="H86" s="64" t="n">
        <x:v>0</x:v>
      </x:c>
      <x:c r="I86" s="64" t="n">
        <x:v>0</x:v>
      </x:c>
    </x:row>
    <x:row r="87">
      <x:c r="A87" t="str">
        <x:v>ASML@FY2021</x:v>
      </x:c>
      <x:c r="B87" t="str">
        <x:v>FY2022</x:v>
      </x:c>
      <x:c r="C87" t="n">
        <x:v>1</x:v>
      </x:c>
      <x:c r="D87" t="str">
        <x:v>营业收入</x:v>
      </x:c>
      <x:c r="E87" s="64" t="n">
        <x:v>21.5</x:v>
      </x:c>
      <x:c r="F87" s="64" t="n">
        <x:v>21.5</x:v>
      </x:c>
      <x:c r="G87" s="64" t="n">
        <x:f>F87-E87</x:f>
        <x:v>0</x:v>
      </x:c>
      <x:c r="H87" s="64" t="n">
        <x:v>0</x:v>
      </x:c>
      <x:c r="I87" s="64" t="n">
        <x:v>0</x:v>
      </x:c>
    </x:row>
    <x:row r="88">
      <x:c r="A88" t="str">
        <x:v>ASML@FY2021</x:v>
      </x:c>
      <x:c r="B88" t="str">
        <x:v>FY2022</x:v>
      </x:c>
      <x:c r="C88" t="n">
        <x:v>1</x:v>
      </x:c>
      <x:c r="D88" t="str">
        <x:v>净利润</x:v>
      </x:c>
      <x:c r="E88" s="64" t="n">
        <x:v>5.9</x:v>
      </x:c>
      <x:c r="F88" s="64" t="n">
        <x:v>5.9</x:v>
      </x:c>
      <x:c r="G88" s="64" t="n">
        <x:f>F88-E88</x:f>
        <x:v>0</x:v>
      </x:c>
      <x:c r="H88" s="64" t="n">
        <x:v>0</x:v>
      </x:c>
      <x:c r="I88" s="64" t="n">
        <x:v>0</x:v>
      </x:c>
    </x:row>
    <x:row r="89">
      <x:c r="A89" t="str">
        <x:v>ASML@FY2021</x:v>
      </x:c>
      <x:c r="B89" t="str">
        <x:v>FY2023</x:v>
      </x:c>
      <x:c r="C89" t="n">
        <x:v>2</x:v>
      </x:c>
      <x:c r="D89" t="str">
        <x:v>营业收入</x:v>
      </x:c>
      <x:c r="E89" s="64" t="n">
        <x:v>26.5</x:v>
      </x:c>
      <x:c r="F89" s="64" t="n">
        <x:v>26.5</x:v>
      </x:c>
      <x:c r="G89" s="64" t="n">
        <x:f>F89-E89</x:f>
        <x:v>0</x:v>
      </x:c>
      <x:c r="H89" s="64" t="n">
        <x:v>0</x:v>
      </x:c>
      <x:c r="I89" s="64" t="n">
        <x:v>0</x:v>
      </x:c>
    </x:row>
    <x:row r="90">
      <x:c r="A90" t="str">
        <x:v>ASML@FY2021</x:v>
      </x:c>
      <x:c r="B90" t="str">
        <x:v>FY2023</x:v>
      </x:c>
      <x:c r="C90" t="n">
        <x:v>2</x:v>
      </x:c>
      <x:c r="D90" t="str">
        <x:v>净利润</x:v>
      </x:c>
      <x:c r="E90" s="64" t="n">
        <x:v>7.4</x:v>
      </x:c>
      <x:c r="F90" s="64" t="n">
        <x:v>7.4</x:v>
      </x:c>
      <x:c r="G90" s="64" t="n">
        <x:f>F90-E90</x:f>
        <x:v>0</x:v>
      </x:c>
      <x:c r="H90" s="64" t="n">
        <x:v>0</x:v>
      </x:c>
      <x:c r="I90" s="64" t="n">
        <x:v>0</x:v>
      </x:c>
    </x:row>
    <x:row r="91">
      <x:c r="A91" t="str">
        <x:v>ASML@FY2021</x:v>
      </x:c>
      <x:c r="B91" t="str">
        <x:v>FY2024</x:v>
      </x:c>
      <x:c r="C91" t="n">
        <x:v>3</x:v>
      </x:c>
      <x:c r="D91" t="str">
        <x:v>营业收入</x:v>
      </x:c>
      <x:c r="E91" s="64" t="n">
        <x:v>28.5</x:v>
      </x:c>
      <x:c r="F91" s="64" t="n">
        <x:v>28.5</x:v>
      </x:c>
      <x:c r="G91" s="64" t="n">
        <x:f>F91-E91</x:f>
        <x:v>0</x:v>
      </x:c>
      <x:c r="H91" s="64" t="n">
        <x:v>0</x:v>
      </x:c>
      <x:c r="I91" s="64" t="n">
        <x:v>0</x:v>
      </x:c>
    </x:row>
    <x:row r="92">
      <x:c r="A92" t="str">
        <x:v>ASML@FY2021</x:v>
      </x:c>
      <x:c r="B92" t="str">
        <x:v>FY2024</x:v>
      </x:c>
      <x:c r="C92" t="n">
        <x:v>3</x:v>
      </x:c>
      <x:c r="D92" t="str">
        <x:v>净利润</x:v>
      </x:c>
      <x:c r="E92" s="64" t="n">
        <x:v>7.8</x:v>
      </x:c>
      <x:c r="F92" s="64" t="n">
        <x:v>7.8</x:v>
      </x:c>
      <x:c r="G92" s="64" t="n">
        <x:f>F92-E92</x:f>
        <x:v>0</x:v>
      </x:c>
      <x:c r="H92" s="64" t="n">
        <x:v>0</x:v>
      </x:c>
      <x:c r="I92" s="64" t="n">
        <x:v>0</x:v>
      </x:c>
    </x:row>
    <x:row r="93">
      <x:c r="A93" t="str">
        <x:v>TSMC@2021</x:v>
      </x:c>
      <x:c r="B93" t="str">
        <x:v>2022</x:v>
      </x:c>
      <x:c r="C93" t="n">
        <x:v>1</x:v>
      </x:c>
      <x:c r="D93" t="str">
        <x:v>营业收入</x:v>
      </x:c>
      <x:c r="E93" s="64" t="n">
        <x:v>2200</x:v>
      </x:c>
      <x:c r="F93" s="64" t="n">
        <x:v>2200</x:v>
      </x:c>
      <x:c r="G93" s="64" t="n">
        <x:f>F93-E93</x:f>
        <x:v>0</x:v>
      </x:c>
      <x:c r="H93" s="64" t="n">
        <x:v>0</x:v>
      </x:c>
      <x:c r="I93" s="64" t="n">
        <x:v>0</x:v>
      </x:c>
    </x:row>
    <x:row r="94">
      <x:c r="A94" t="str">
        <x:v>TSMC@2021</x:v>
      </x:c>
      <x:c r="B94" t="str">
        <x:v>2022</x:v>
      </x:c>
      <x:c r="C94" t="n">
        <x:v>1</x:v>
      </x:c>
      <x:c r="D94" t="str">
        <x:v>净利润</x:v>
      </x:c>
      <x:c r="E94" s="64" t="n">
        <x:v>950</x:v>
      </x:c>
      <x:c r="F94" s="64" t="n">
        <x:v>950</x:v>
      </x:c>
      <x:c r="G94" s="64" t="n">
        <x:f>F94-E94</x:f>
        <x:v>0</x:v>
      </x:c>
      <x:c r="H94" s="64" t="n">
        <x:v>0</x:v>
      </x:c>
      <x:c r="I94" s="64" t="n">
        <x:v>0</x:v>
      </x:c>
    </x:row>
    <x:row r="95">
      <x:c r="A95" t="str">
        <x:v>TSMC@2021</x:v>
      </x:c>
      <x:c r="B95" t="str">
        <x:v>2023</x:v>
      </x:c>
      <x:c r="C95" t="n">
        <x:v>2</x:v>
      </x:c>
      <x:c r="D95" t="str">
        <x:v>营业收入</x:v>
      </x:c>
      <x:c r="E95" s="64" t="n">
        <x:v>2100</x:v>
      </x:c>
      <x:c r="F95" s="64" t="n">
        <x:v>2100</x:v>
      </x:c>
      <x:c r="G95" s="64" t="n">
        <x:f>F95-E95</x:f>
        <x:v>0</x:v>
      </x:c>
      <x:c r="H95" s="64" t="n">
        <x:v>0</x:v>
      </x:c>
      <x:c r="I95" s="64" t="n">
        <x:v>0</x:v>
      </x:c>
    </x:row>
    <x:row r="96">
      <x:c r="A96" t="str">
        <x:v>TSMC@2021</x:v>
      </x:c>
      <x:c r="B96" t="str">
        <x:v>2023</x:v>
      </x:c>
      <x:c r="C96" t="n">
        <x:v>2</x:v>
      </x:c>
      <x:c r="D96" t="str">
        <x:v>净利润</x:v>
      </x:c>
      <x:c r="E96" s="64" t="n">
        <x:v>800</x:v>
      </x:c>
      <x:c r="F96" s="64" t="n">
        <x:v>800</x:v>
      </x:c>
      <x:c r="G96" s="64" t="n">
        <x:f>F96-E96</x:f>
        <x:v>0</x:v>
      </x:c>
      <x:c r="H96" s="64" t="n">
        <x:v>0</x:v>
      </x:c>
      <x:c r="I96" s="64" t="n">
        <x:v>0</x:v>
      </x:c>
    </x:row>
    <x:row r="97">
      <x:c r="A97" t="str">
        <x:v>TSMC@2021</x:v>
      </x:c>
      <x:c r="B97" t="str">
        <x:v>2024</x:v>
      </x:c>
      <x:c r="C97" t="n">
        <x:v>3</x:v>
      </x:c>
      <x:c r="D97" t="str">
        <x:v>营业收入</x:v>
      </x:c>
      <x:c r="E97" s="64" t="n">
        <x:v>2700</x:v>
      </x:c>
      <x:c r="F97" s="64" t="n">
        <x:v>2700</x:v>
      </x:c>
      <x:c r="G97" s="64" t="n">
        <x:f>F97-E97</x:f>
        <x:v>0</x:v>
      </x:c>
      <x:c r="H97" s="64" t="n">
        <x:v>0</x:v>
      </x:c>
      <x:c r="I97" s="64" t="n">
        <x:v>0</x:v>
      </x:c>
    </x:row>
    <x:row r="98">
      <x:c r="A98" t="str">
        <x:v>TSMC@2021</x:v>
      </x:c>
      <x:c r="B98" t="str">
        <x:v>2024</x:v>
      </x:c>
      <x:c r="C98" t="n">
        <x:v>3</x:v>
      </x:c>
      <x:c r="D98" t="str">
        <x:v>净利润</x:v>
      </x:c>
      <x:c r="E98" s="64" t="n">
        <x:v>1080</x:v>
      </x:c>
      <x:c r="F98" s="64" t="n">
        <x:v>1080</x:v>
      </x:c>
      <x:c r="G98" s="64" t="n">
        <x:f>F98-E98</x:f>
        <x:v>0</x:v>
      </x:c>
      <x:c r="H98" s="64" t="n">
        <x:v>0</x:v>
      </x:c>
      <x:c r="I98" s="64" t="n">
        <x:v>0</x:v>
      </x:c>
    </x:row>
    <x:row r="99">
      <x:c r="A99" t="str">
        <x:v>Samsung@FY2021</x:v>
      </x:c>
      <x:c r="B99" t="str">
        <x:v>FY2022</x:v>
      </x:c>
      <x:c r="C99" t="n">
        <x:v>1</x:v>
      </x:c>
      <x:c r="D99" t="str">
        <x:v>营业收入</x:v>
      </x:c>
      <x:c r="E99" s="64" t="n">
        <x:v>300</x:v>
      </x:c>
      <x:c r="F99" s="64" t="n">
        <x:v>300</x:v>
      </x:c>
      <x:c r="G99" s="64" t="n">
        <x:f>F99-E99</x:f>
        <x:v>0</x:v>
      </x:c>
      <x:c r="H99" s="64" t="n">
        <x:v>0</x:v>
      </x:c>
      <x:c r="I99" s="64" t="n">
        <x:v>0</x:v>
      </x:c>
    </x:row>
    <x:row r="100">
      <x:c r="A100" t="str">
        <x:v>Samsung@FY2021</x:v>
      </x:c>
      <x:c r="B100" t="str">
        <x:v>FY2022</x:v>
      </x:c>
      <x:c r="C100" t="n">
        <x:v>1</x:v>
      </x:c>
      <x:c r="D100" t="str">
        <x:v>营业利润</x:v>
      </x:c>
      <x:c r="E100" s="64" t="n">
        <x:v>45</x:v>
      </x:c>
      <x:c r="F100" s="64" t="n">
        <x:v>45</x:v>
      </x:c>
      <x:c r="G100" s="64" t="n">
        <x:f>F100-E100</x:f>
        <x:v>0</x:v>
      </x:c>
      <x:c r="H100" s="64" t="n">
        <x:v>0</x:v>
      </x:c>
      <x:c r="I100" s="64" t="n">
        <x:v>0</x:v>
      </x:c>
    </x:row>
    <x:row r="101">
      <x:c r="A101" t="str">
        <x:v>Samsung@FY2021</x:v>
      </x:c>
      <x:c r="B101" t="str">
        <x:v>FY2023</x:v>
      </x:c>
      <x:c r="C101" t="n">
        <x:v>2</x:v>
      </x:c>
      <x:c r="D101" t="str">
        <x:v>营业收入</x:v>
      </x:c>
      <x:c r="E101" s="64" t="n">
        <x:v>270</x:v>
      </x:c>
      <x:c r="F101" s="64" t="n">
        <x:v>270</x:v>
      </x:c>
      <x:c r="G101" s="64" t="n">
        <x:f>F101-E101</x:f>
        <x:v>0</x:v>
      </x:c>
      <x:c r="H101" s="64" t="n">
        <x:v>0</x:v>
      </x:c>
      <x:c r="I101" s="64" t="n">
        <x:v>0</x:v>
      </x:c>
    </x:row>
    <x:row r="102">
      <x:c r="A102" t="str">
        <x:v>Samsung@FY2021</x:v>
      </x:c>
      <x:c r="B102" t="str">
        <x:v>FY2023</x:v>
      </x:c>
      <x:c r="C102" t="n">
        <x:v>2</x:v>
      </x:c>
      <x:c r="D102" t="str">
        <x:v>营业利润</x:v>
      </x:c>
      <x:c r="E102" s="64" t="n">
        <x:v>12</x:v>
      </x:c>
      <x:c r="F102" s="64" t="n">
        <x:v>12</x:v>
      </x:c>
      <x:c r="G102" s="64" t="n">
        <x:f>F102-E102</x:f>
        <x:v>0</x:v>
      </x:c>
      <x:c r="H102" s="64" t="n">
        <x:v>0</x:v>
      </x:c>
      <x:c r="I102" s="64" t="n">
        <x:v>0</x:v>
      </x:c>
    </x:row>
    <x:row r="103">
      <x:c r="A103" t="str">
        <x:v>Samsung@FY2021</x:v>
      </x:c>
      <x:c r="B103" t="str">
        <x:v>FY2024</x:v>
      </x:c>
      <x:c r="C103" t="n">
        <x:v>3</x:v>
      </x:c>
      <x:c r="D103" t="str">
        <x:v>营业收入</x:v>
      </x:c>
      <x:c r="E103" s="64" t="n">
        <x:v>302</x:v>
      </x:c>
      <x:c r="F103" s="64" t="n">
        <x:v>302</x:v>
      </x:c>
      <x:c r="G103" s="64" t="n">
        <x:f>F103-E103</x:f>
        <x:v>0</x:v>
      </x:c>
      <x:c r="H103" s="64" t="n">
        <x:v>0</x:v>
      </x:c>
      <x:c r="I103" s="64" t="n">
        <x:v>0</x:v>
      </x:c>
    </x:row>
    <x:row r="104">
      <x:c r="A104" t="str">
        <x:v>Samsung@FY2021</x:v>
      </x:c>
      <x:c r="B104" t="str">
        <x:v>FY2024</x:v>
      </x:c>
      <x:c r="C104" t="n">
        <x:v>3</x:v>
      </x:c>
      <x:c r="D104" t="str">
        <x:v>营业利润</x:v>
      </x:c>
      <x:c r="E104" s="64" t="n">
        <x:v>31</x:v>
      </x:c>
      <x:c r="F104" s="64" t="n">
        <x:v>31</x:v>
      </x:c>
      <x:c r="G104" s="64" t="n">
        <x:f>F104-E104</x:f>
        <x:v>0</x:v>
      </x:c>
      <x:c r="H104" s="64" t="n">
        <x:v>0</x:v>
      </x:c>
      <x:c r="I104" s="64" t="n">
        <x:v>0</x:v>
      </x:c>
    </x:row>
    <x:row r="105">
      <x:c r="A105" t="str">
        <x:v>NVDA@FY2022</x:v>
      </x:c>
      <x:c r="B105" t="str">
        <x:v>FY2023</x:v>
      </x:c>
      <x:c r="C105" t="n">
        <x:v>1</x:v>
      </x:c>
      <x:c r="D105" t="str">
        <x:v>营业收入</x:v>
      </x:c>
      <x:c r="E105" s="64" t="n">
        <x:v>27</x:v>
      </x:c>
      <x:c r="F105" s="64" t="n">
        <x:v>27</x:v>
      </x:c>
      <x:c r="G105" s="64" t="n">
        <x:f>F105-E105</x:f>
        <x:v>0</x:v>
      </x:c>
      <x:c r="H105" s="64" t="n">
        <x:v>0</x:v>
      </x:c>
      <x:c r="I105" s="64" t="n">
        <x:v>0</x:v>
      </x:c>
    </x:row>
    <x:row r="106">
      <x:c r="A106" t="str">
        <x:v>NVDA@FY2022</x:v>
      </x:c>
      <x:c r="B106" t="str">
        <x:v>FY2023</x:v>
      </x:c>
      <x:c r="C106" t="n">
        <x:v>1</x:v>
      </x:c>
      <x:c r="D106" t="str">
        <x:v>营业利润</x:v>
      </x:c>
      <x:c r="E106" s="64" t="n">
        <x:v>4.8</x:v>
      </x:c>
      <x:c r="F106" s="64" t="n">
        <x:v>4.8</x:v>
      </x:c>
      <x:c r="G106" s="64" t="n">
        <x:f>F106-E106</x:f>
        <x:v>0</x:v>
      </x:c>
      <x:c r="H106" s="64" t="n">
        <x:v>0</x:v>
      </x:c>
      <x:c r="I106" s="64" t="n">
        <x:v>0</x:v>
      </x:c>
    </x:row>
    <x:row r="107">
      <x:c r="A107" t="str">
        <x:v>NVDA@FY2022</x:v>
      </x:c>
      <x:c r="B107" t="str">
        <x:v>FY2024</x:v>
      </x:c>
      <x:c r="C107" t="n">
        <x:v>2</x:v>
      </x:c>
      <x:c r="D107" t="str">
        <x:v>营业收入</x:v>
      </x:c>
      <x:c r="E107" s="64" t="n">
        <x:v>45</x:v>
      </x:c>
      <x:c r="F107" s="64" t="n">
        <x:v>45</x:v>
      </x:c>
      <x:c r="G107" s="64" t="n">
        <x:f>F107-E107</x:f>
        <x:v>0</x:v>
      </x:c>
      <x:c r="H107" s="64" t="n">
        <x:v>0</x:v>
      </x:c>
      <x:c r="I107" s="64" t="n">
        <x:v>0</x:v>
      </x:c>
    </x:row>
    <x:row r="108">
      <x:c r="A108" t="str">
        <x:v>NVDA@FY2022</x:v>
      </x:c>
      <x:c r="B108" t="str">
        <x:v>FY2024</x:v>
      </x:c>
      <x:c r="C108" t="n">
        <x:v>2</x:v>
      </x:c>
      <x:c r="D108" t="str">
        <x:v>营业利润</x:v>
      </x:c>
      <x:c r="E108" s="64" t="n">
        <x:v>20</x:v>
      </x:c>
      <x:c r="F108" s="64" t="n">
        <x:v>20</x:v>
      </x:c>
      <x:c r="G108" s="64" t="n">
        <x:f>F108-E108</x:f>
        <x:v>0</x:v>
      </x:c>
      <x:c r="H108" s="64" t="n">
        <x:v>0</x:v>
      </x:c>
      <x:c r="I108" s="64" t="n">
        <x:v>0</x:v>
      </x:c>
    </x:row>
    <x:row r="109">
      <x:c r="A109" t="str">
        <x:v>NVDA@FY2022</x:v>
      </x:c>
      <x:c r="B109" t="str">
        <x:v>FY2025</x:v>
      </x:c>
      <x:c r="C109" t="n">
        <x:v>3</x:v>
      </x:c>
      <x:c r="D109" t="str">
        <x:v>营业收入</x:v>
      </x:c>
      <x:c r="E109" s="64" t="n">
        <x:v>78</x:v>
      </x:c>
      <x:c r="F109" s="64" t="n">
        <x:v>78</x:v>
      </x:c>
      <x:c r="G109" s="64" t="n">
        <x:f>F109-E109</x:f>
        <x:v>0</x:v>
      </x:c>
      <x:c r="H109" s="64" t="n">
        <x:v>0</x:v>
      </x:c>
      <x:c r="I109" s="64" t="n">
        <x:v>0</x:v>
      </x:c>
    </x:row>
    <x:row r="110">
      <x:c r="A110" t="str">
        <x:v>NVDA@FY2022</x:v>
      </x:c>
      <x:c r="B110" t="str">
        <x:v>FY2025</x:v>
      </x:c>
      <x:c r="C110" t="n">
        <x:v>3</x:v>
      </x:c>
      <x:c r="D110" t="str">
        <x:v>营业利润</x:v>
      </x:c>
      <x:c r="E110" s="64" t="n">
        <x:v>45</x:v>
      </x:c>
      <x:c r="F110" s="64" t="n">
        <x:v>45</x:v>
      </x:c>
      <x:c r="G110" s="64" t="n">
        <x:f>F110-E110</x:f>
        <x:v>0</x:v>
      </x:c>
      <x:c r="H110" s="64" t="n">
        <x:v>0</x:v>
      </x:c>
      <x:c r="I110" s="64" t="n">
        <x:v>0</x:v>
      </x:c>
    </x:row>
    <x:row r="112" ht="21" customHeight="1">
      <x:c r="A112" s="18" t="str">
        <x:v>三、回归结果</x:v>
      </x:c>
      <x:c r="B112" s="18" t="str">
        <x:v>三、回归结果</x:v>
      </x:c>
      <x:c r="C112" s="18" t="str">
        <x:v>三、回归结果</x:v>
      </x:c>
      <x:c r="D112" s="18" t="str">
        <x:v>三、回归结果</x:v>
      </x:c>
      <x:c r="E112" s="18" t="str">
        <x:v>三、回归结果</x:v>
      </x:c>
      <x:c r="F112" s="18" t="str">
        <x:v>三、回归结果</x:v>
      </x:c>
      <x:c r="G112" s="18" t="str">
        <x:v>三、回归结果</x:v>
      </x:c>
      <x:c r="H112" s="18" t="str">
        <x:v>三、回归结果</x:v>
      </x:c>
      <x:c r="I112" s="18" t="str">
        <x:v>三、回归结果</x:v>
      </x:c>
      <x:c r="J112" s="18" t="str">
        <x:v>三、回归结果</x:v>
      </x:c>
      <x:c r="K112" s="18" t="str">
        <x:v>三、回归结果</x:v>
      </x:c>
      <x:c r="L112" s="18" t="str">
        <x:v>三、回归结果</x:v>
      </x:c>
    </x:row>
    <x:row r="113" ht="28" customHeight="1">
      <x:c r="A113" s="26" t="str">
        <x:v>检查</x:v>
      </x:c>
      <x:c r="B113" s="26" t="str">
        <x:v>公式/结果</x:v>
      </x:c>
      <x:c r="C113" s="26" t="str">
        <x:v>门槛</x:v>
      </x:c>
      <x:c r="D113" s="26" t="str">
        <x:v>状态</x:v>
      </x:c>
    </x:row>
    <x:row r="114">
      <x:c r="A114" t="str">
        <x:v>最大点预测差</x:v>
      </x:c>
      <x:c r="B114" t="n">
        <x:f>MAX(MAX(G15:G110),-MIN(G15:G110))</x:f>
        <x:v>0</x:v>
      </x:c>
      <x:c r="C114" t="n">
        <x:v>0</x:v>
      </x:c>
      <x:c r="D114" t="str">
        <x:v>通过</x:v>
      </x:c>
    </x:row>
    <x:row r="115">
      <x:c r="A115" t="str">
        <x:v>最大下限差</x:v>
      </x:c>
      <x:c r="B115" t="n">
        <x:f>MAX(MAX(H15:H110),-MIN(H15:H110))</x:f>
        <x:v>0</x:v>
      </x:c>
      <x:c r="C115" t="n">
        <x:v>0</x:v>
      </x:c>
      <x:c r="D115" t="str">
        <x:v>通过</x:v>
      </x:c>
    </x:row>
    <x:row r="116">
      <x:c r="A116" t="str">
        <x:v>最大上限差</x:v>
      </x:c>
      <x:c r="B116" t="n">
        <x:f>MAX(MAX(I15:I110),-MIN(I15:I110))</x:f>
        <x:v>0</x:v>
      </x:c>
      <x:c r="C116" t="n">
        <x:v>0</x:v>
      </x:c>
      <x:c r="D116" t="str">
        <x:v>通过</x:v>
      </x:c>
    </x:row>
    <x:row r="117">
      <x:c r="A117" t="str">
        <x:v>回归结论</x:v>
      </x:c>
      <x:c r="B117" t="str">
        <x:v>旧96点完全一致</x:v>
      </x:c>
      <x:c r="C117" t="str">
        <x:v>零差异</x:v>
      </x:c>
      <x:c r="D117" t="str">
        <x:v>通过</x:v>
      </x:c>
    </x:row>
  </x:sheetData>
  <x:mergeCells>
    <x:mergeCell ref="A1:L1"/>
    <x:mergeCell ref="A2:L2"/>
    <x:mergeCell ref="A4:L4"/>
    <x:mergeCell ref="A13:L13"/>
    <x:mergeCell ref="A112:L1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7" hidden="0" customWidth="1"/>
    <x:col min="4" max="4" width="37" hidden="0" customWidth="1"/>
    <x:col min="5" max="5" width="42" hidden="0" customWidth="1"/>
    <x:col min="6" max="6" width="43" hidden="0" customWidth="1"/>
    <x:col min="7" max="7" width="36" hidden="0" customWidth="1"/>
    <x:col min="8" max="8" width="30" hidden="0" customWidth="1"/>
    <x:col min="9" max="9" width="22" hidden="0" customWidth="1"/>
    <x:col min="10" max="10" width="41" hidden="0" customWidth="1"/>
  </x:cols>
  <x:sheetData>
    <x:row r="1" ht="28" customHeight="1">
      <x:c r="A1" s="4" t="str">
        <x:v>失败归因与v6结构修正</x:v>
      </x:c>
      <x:c r="B1" s="4" t="str">
        <x:v>失败归因与v6结构修正</x:v>
      </x:c>
      <x:c r="C1" s="4" t="str">
        <x:v>失败归因与v6结构修正</x:v>
      </x:c>
      <x:c r="D1" s="4" t="str">
        <x:v>失败归因与v6结构修正</x:v>
      </x:c>
      <x:c r="E1" s="4" t="str">
        <x:v>失败归因与v6结构修正</x:v>
      </x:c>
      <x:c r="F1" s="4" t="str">
        <x:v>失败归因与v6结构修正</x:v>
      </x:c>
      <x:c r="G1" s="4" t="str">
        <x:v>失败归因与v6结构修正</x:v>
      </x:c>
      <x:c r="H1" s="4" t="str">
        <x:v>失败归因与v6结构修正</x:v>
      </x:c>
      <x:c r="I1" s="4" t="str">
        <x:v>失败归因与v6结构修正</x:v>
      </x:c>
      <x:c r="J1" s="4" t="str">
        <x:v>失败归因与v6结构修正</x:v>
      </x:c>
    </x:row>
    <x:row r="2" ht="35" customHeight="1">
      <x:c r="A2" s="11" t="str">
        <x:v>只把可跨案例复用的错误升级为方法规则；留出点预测不因实际结果回写。</x:v>
      </x:c>
      <x:c r="B2" s="11" t="str">
        <x:v>只把可跨案例复用的错误升级为方法规则；留出点预测不因实际结果回写。</x:v>
      </x:c>
      <x:c r="C2" s="11" t="str">
        <x:v>只把可跨案例复用的错误升级为方法规则；留出点预测不因实际结果回写。</x:v>
      </x:c>
      <x:c r="D2" s="11" t="str">
        <x:v>只把可跨案例复用的错误升级为方法规则；留出点预测不因实际结果回写。</x:v>
      </x:c>
      <x:c r="E2" s="11" t="str">
        <x:v>只把可跨案例复用的错误升级为方法规则；留出点预测不因实际结果回写。</x:v>
      </x:c>
      <x:c r="F2" s="11" t="str">
        <x:v>只把可跨案例复用的错误升级为方法规则；留出点预测不因实际结果回写。</x:v>
      </x:c>
      <x:c r="G2" s="11" t="str">
        <x:v>只把可跨案例复用的错误升级为方法规则；留出点预测不因实际结果回写。</x:v>
      </x:c>
      <x:c r="H2" s="11" t="str">
        <x:v>只把可跨案例复用的错误升级为方法规则；留出点预测不因实际结果回写。</x:v>
      </x:c>
      <x:c r="I2" s="11" t="str">
        <x:v>只把可跨案例复用的错误升级为方法规则；留出点预测不因实际结果回写。</x:v>
      </x:c>
      <x:c r="J2" s="11" t="str">
        <x:v>只把可跨案例复用的错误升级为方法规则；留出点预测不因实际结果回写。</x:v>
      </x:c>
    </x:row>
    <x:row r="4" ht="28" customHeight="1">
      <x:c r="A4" s="26" t="str">
        <x:v>错误类型</x:v>
      </x:c>
      <x:c r="B4" s="26" t="str">
        <x:v>案例</x:v>
      </x:c>
      <x:c r="C4" s="26" t="str">
        <x:v>v5错误</x:v>
      </x:c>
      <x:c r="D4" s="26" t="str">
        <x:v>v6修正</x:v>
      </x:c>
      <x:c r="E4" s="26" t="str">
        <x:v>经济机制</x:v>
      </x:c>
      <x:c r="F4" s="26" t="str">
        <x:v>预测公式变化</x:v>
      </x:c>
      <x:c r="G4" s="26" t="str">
        <x:v>会计/现金桥</x:v>
      </x:c>
      <x:c r="H4" s="26" t="str">
        <x:v>验证方式</x:v>
      </x:c>
      <x:c r="I4" s="26" t="str">
        <x:v>回归保护</x:v>
      </x:c>
      <x:c r="J4" s="26" t="str">
        <x:v>最终规则</x:v>
      </x:c>
    </x:row>
    <x:row r="5" ht="82" customHeight="1">
      <x:c r="A5" s="54" t="str">
        <x:v>PERIMETER</x:v>
      </x:c>
      <x:c r="B5" s="54" t="str">
        <x:v>Broadcom、AMD、Coherent、Entegris</x:v>
      </x:c>
      <x:c r="C5" s="54" t="str">
        <x:v>把报告增长当organic</x:v>
      </x:c>
      <x:c r="D5" s="54" t="str">
        <x:v>新增企业边界桥</x:v>
      </x:c>
      <x:c r="E5" s="54" t="str">
        <x:v>并购/剥离/重组改变收入基数和利润</x:v>
      </x:c>
      <x:c r="F5" s="54" t="str">
        <x:v>organic＋acquired－disposed＋FX＋recast</x:v>
      </x:c>
      <x:c r="G5" s="54" t="str">
        <x:v>摊销、利息、重组、税</x:v>
      </x:c>
      <x:c r="H5" s="54" t="str">
        <x:v>并购年与后续两年</x:v>
      </x:c>
      <x:c r="I5" s="54" t="str">
        <x:v>旧样本不改</x:v>
      </x:c>
      <x:c r="J5" s="54" t="str">
        <x:v>无边界桥不得评估增长</x:v>
      </x:c>
    </x:row>
    <x:row r="6" ht="82" customHeight="1">
      <x:c r="A6" s="54" t="str">
        <x:v>TIMING</x:v>
      </x:c>
      <x:c r="B6" s="54" t="str">
        <x:v>Vertiv、设备</x:v>
      </x:c>
      <x:c r="C6" s="54" t="str">
        <x:v>订单/backlog直接计收入</x:v>
      </x:c>
      <x:c r="D6" s="54" t="str">
        <x:v>新增收入确认桥</x:v>
      </x:c>
      <x:c r="E6" s="54" t="str">
        <x:v>取消、延期、供给、安装和验收</x:v>
      </x:c>
      <x:c r="F6" s="54" t="str">
        <x:v>order×survival×delivery×acceptance</x:v>
      </x:c>
      <x:c r="G6" s="54" t="str">
        <x:v>应收、预付款、库存</x:v>
      </x:c>
      <x:c r="H6" s="54" t="str">
        <x:v>项目交付误差</x:v>
      </x:c>
      <x:c r="I6" s="54" t="str">
        <x:v>旧样本不改</x:v>
      </x:c>
      <x:c r="J6" s="54" t="str">
        <x:v>订单和收入分阶段</x:v>
      </x:c>
    </x:row>
    <x:row r="7" ht="82" customHeight="1">
      <x:c r="A7" s="54" t="str">
        <x:v>STRUCTURE</x:v>
      </x:c>
      <x:c r="B7" s="54" t="str">
        <x:v>Supermicro</x:v>
      </x:c>
      <x:c r="C7" s="54" t="str">
        <x:v>BOM上涨被当利润同步增长</x:v>
      </x:c>
      <x:c r="D7" s="54" t="str">
        <x:v>拆pass-through与自有增值</x:v>
      </x:c>
      <x:c r="E7" s="54" t="str">
        <x:v>高价GPU推高收入但压低毛利并占用现金</x:v>
      </x:c>
      <x:c r="F7" s="54" t="str">
        <x:v>units×BOM；单列GP$和margin</x:v>
      </x:c>
      <x:c r="G7" s="54" t="str">
        <x:v>库存、应收、供应商融资</x:v>
      </x:c>
      <x:c r="H7" s="54" t="str">
        <x:v>收入/毛利/现金三检</x:v>
      </x:c>
      <x:c r="I7" s="54" t="str">
        <x:v>旧样本不改</x:v>
      </x:c>
      <x:c r="J7" s="54" t="str">
        <x:v>服务器必须做BOM和营运资金</x:v>
      </x:c>
    </x:row>
    <x:row r="8" ht="82" customHeight="1">
      <x:c r="A8" s="54" t="str">
        <x:v>PARAM/STRUCTURE</x:v>
      </x:c>
      <x:c r="B8" s="54" t="str">
        <x:v>KLA、Amkor、Entegris</x:v>
      </x:c>
      <x:c r="C8" s="54" t="str">
        <x:v>内容量上涨直接推毛利</x:v>
      </x:c>
      <x:c r="D8" s="54" t="str">
        <x:v>新增内容量—成本桥</x:v>
      </x:c>
      <x:c r="E8" s="54" t="str">
        <x:v>材料、折旧、利用率、良率影响利润</x:v>
      </x:c>
      <x:c r="F8" s="54" t="str">
        <x:v>units/wafer×content×ASP</x:v>
      </x:c>
      <x:c r="G8" s="54" t="str">
        <x:v>材料成本、折旧、利用率</x:v>
      </x:c>
      <x:c r="H8" s="54" t="str">
        <x:v>收入与利润率同时验证</x:v>
      </x:c>
      <x:c r="I8" s="54" t="str">
        <x:v>旧样本不改</x:v>
      </x:c>
      <x:c r="J8" s="54" t="str">
        <x:v>价值量不等于利润率</x:v>
      </x:c>
    </x:row>
    <x:row r="9" ht="82" customHeight="1">
      <x:c r="A9" s="54" t="str">
        <x:v>STATE</x:v>
      </x:c>
      <x:c r="B9" s="54" t="str">
        <x:v>Arista</x:v>
      </x:c>
      <x:c r="C9" s="54" t="str">
        <x:v>AI/流量TAM直接外推</x:v>
      </x:c>
      <x:c r="D9" s="54" t="str">
        <x:v>客户部署和集中度模型</x:v>
      </x:c>
      <x:c r="E9" s="54" t="str">
        <x:v>客户CapEx、端口升级、供应和RPO共同驱动</x:v>
      </x:c>
      <x:c r="F9" s="54" t="str">
        <x:v>deployments×content×share</x:v>
      </x:c>
      <x:c r="G9" s="54" t="str">
        <x:v>递延/RPO、库存</x:v>
      </x:c>
      <x:c r="H9" s="54" t="str">
        <x:v>客户集中与方向</x:v>
      </x:c>
      <x:c r="I9" s="54" t="str">
        <x:v>旧样本不改</x:v>
      </x:c>
      <x:c r="J9" s="54" t="str">
        <x:v>平台需求不等于公司份额</x:v>
      </x:c>
    </x:row>
    <x:row r="10" ht="82" customHeight="1">
      <x:c r="A10" s="54" t="str">
        <x:v>ACCOUNTING</x:v>
      </x:c>
      <x:c r="B10" s="54" t="str">
        <x:v>Coherent、AMD</x:v>
      </x:c>
      <x:c r="C10" s="54" t="str">
        <x:v>技术趋势直接推净利润</x:v>
      </x:c>
      <x:c r="D10" s="54" t="str">
        <x:v>M&amp;A和会计桥</x:v>
      </x:c>
      <x:c r="E10" s="54" t="str">
        <x:v>摊销、利息、重组和All Other吞噬利润</x:v>
      </x:c>
      <x:c r="F10" s="54" t="str">
        <x:v>segment profit＋perimeter bridge</x:v>
      </x:c>
      <x:c r="G10" s="54" t="str">
        <x:v>净利/经营利润双口径</x:v>
      </x:c>
      <x:c r="H10" s="54" t="str">
        <x:v>收入与利润符号</x:v>
      </x:c>
      <x:c r="I10" s="54" t="str">
        <x:v>旧样本不改</x:v>
      </x:c>
      <x:c r="J10" s="54" t="str">
        <x:v>报告利润与经济利润分开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4" hidden="0" customWidth="1"/>
    <x:col min="3" max="3" width="29" hidden="0" customWidth="1"/>
    <x:col min="4" max="4" width="31" hidden="0" customWidth="1"/>
    <x:col min="5" max="5" width="36" hidden="0" customWidth="1"/>
    <x:col min="6" max="6" width="28" hidden="0" customWidth="1"/>
    <x:col min="7" max="7" width="31" hidden="0" customWidth="1"/>
    <x:col min="8" max="8" width="26" hidden="0" customWidth="1"/>
    <x:col min="9" max="9" width="17" hidden="0" customWidth="1"/>
    <x:col min="10" max="10" width="20" hidden="0" customWidth="1"/>
    <x:col min="11" max="11" width="23" hidden="0" customWidth="1"/>
    <x:col min="12" max="12" width="18" hidden="0" customWidth="1"/>
  </x:cols>
  <x:sheetData>
    <x:row r="1" ht="28" customHeight="1">
      <x:c r="A1" s="4" t="str">
        <x:v>v6新增经营原型</x:v>
      </x:c>
      <x:c r="B1" s="4" t="str">
        <x:v>v6新增经营原型</x:v>
      </x:c>
      <x:c r="C1" s="4" t="str">
        <x:v>v6新增经营原型</x:v>
      </x:c>
      <x:c r="D1" s="4" t="str">
        <x:v>v6新增经营原型</x:v>
      </x:c>
      <x:c r="E1" s="4" t="str">
        <x:v>v6新增经营原型</x:v>
      </x:c>
      <x:c r="F1" s="4" t="str">
        <x:v>v6新增经营原型</x:v>
      </x:c>
      <x:c r="G1" s="4" t="str">
        <x:v>v6新增经营原型</x:v>
      </x:c>
      <x:c r="H1" s="4" t="str">
        <x:v>v6新增经营原型</x:v>
      </x:c>
      <x:c r="I1" s="4" t="str">
        <x:v>v6新增经营原型</x:v>
      </x:c>
      <x:c r="J1" s="4" t="str">
        <x:v>v6新增经营原型</x:v>
      </x:c>
      <x:c r="K1" s="4" t="str">
        <x:v>v6新增经营原型</x:v>
      </x:c>
      <x:c r="L1" s="4" t="str">
        <x:v>v6新增经营原型</x:v>
      </x:c>
    </x:row>
    <x:row r="2" ht="35" customHeight="1">
      <x:c r="A2" s="11" t="str">
        <x:v>公司可由多个原型按分部加权；先分类再选公式。</x:v>
      </x:c>
      <x:c r="B2" s="11" t="str">
        <x:v>公司可由多个原型按分部加权；先分类再选公式。</x:v>
      </x:c>
      <x:c r="C2" s="11" t="str">
        <x:v>公司可由多个原型按分部加权；先分类再选公式。</x:v>
      </x:c>
      <x:c r="D2" s="11" t="str">
        <x:v>公司可由多个原型按分部加权；先分类再选公式。</x:v>
      </x:c>
      <x:c r="E2" s="11" t="str">
        <x:v>公司可由多个原型按分部加权；先分类再选公式。</x:v>
      </x:c>
      <x:c r="F2" s="11" t="str">
        <x:v>公司可由多个原型按分部加权；先分类再选公式。</x:v>
      </x:c>
      <x:c r="G2" s="11" t="str">
        <x:v>公司可由多个原型按分部加权；先分类再选公式。</x:v>
      </x:c>
      <x:c r="H2" s="11" t="str">
        <x:v>公司可由多个原型按分部加权；先分类再选公式。</x:v>
      </x:c>
      <x:c r="I2" s="11" t="str">
        <x:v>公司可由多个原型按分部加权；先分类再选公式。</x:v>
      </x:c>
      <x:c r="J2" s="11" t="str">
        <x:v>公司可由多个原型按分部加权；先分类再选公式。</x:v>
      </x:c>
      <x:c r="K2" s="11" t="str">
        <x:v>公司可由多个原型按分部加权；先分类再选公式。</x:v>
      </x:c>
      <x:c r="L2" s="11" t="str">
        <x:v>公司可由多个原型按分部加权；先分类再选公式。</x:v>
      </x:c>
    </x:row>
    <x:row r="4" ht="28" customHeight="1">
      <x:c r="A4" s="26" t="str">
        <x:v>原型</x:v>
      </x:c>
      <x:c r="B4" s="26" t="str">
        <x:v>收入方程</x:v>
      </x:c>
      <x:c r="C4" s="26" t="str">
        <x:v>价格/份额</x:v>
      </x:c>
      <x:c r="D4" s="26" t="str">
        <x:v>供给/交付</x:v>
      </x:c>
      <x:c r="E4" s="26" t="str">
        <x:v>利润桥</x:v>
      </x:c>
      <x:c r="F4" s="26" t="str">
        <x:v>现金桥</x:v>
      </x:c>
      <x:c r="G4" s="26" t="str">
        <x:v>客户变量</x:v>
      </x:c>
      <x:c r="H4" s="26" t="str">
        <x:v>产品阶段</x:v>
      </x:c>
      <x:c r="I4" s="26" t="str">
        <x:v>1年</x:v>
      </x:c>
      <x:c r="J4" s="26" t="str">
        <x:v>2年</x:v>
      </x:c>
      <x:c r="K4" s="26" t="str">
        <x:v>3年</x:v>
      </x:c>
      <x:c r="L4" s="26" t="str">
        <x:v>验证案例</x:v>
      </x:c>
    </x:row>
    <x:row r="5" ht="83" customHeight="1">
      <x:c r="A5" s="54" t="str">
        <x:v>diversified-wafer-fab-equipment</x:v>
      </x:c>
      <x:c r="B5" s="54" t="str">
        <x:v>systems＋installed-base services</x:v>
      </x:c>
      <x:c r="C5" s="54" t="str">
        <x:v>WFE×工艺份额×ASP</x:v>
      </x:c>
      <x:c r="D5" s="54" t="str">
        <x:v>组件、出货、安装、验收</x:v>
      </x:c>
      <x:c r="E5" s="54" t="str">
        <x:v>系统/服务毛利－R&amp;D/SG&amp;A</x:v>
      </x:c>
      <x:c r="F5" s="54" t="str">
        <x:v>递延、库存、应收</x:v>
      </x:c>
      <x:c r="G5" s="54" t="str">
        <x:v>foundry/logic与memory CapEx</x:v>
      </x:c>
      <x:c r="H5" s="54" t="str">
        <x:v>工具认证/量产</x:v>
      </x:c>
      <x:c r="I5" s="54" t="str">
        <x:v>点值</x:v>
      </x:c>
      <x:c r="J5" s="54" t="str">
        <x:v>WFE情景</x:v>
      </x:c>
      <x:c r="K5" s="54" t="str">
        <x:v>装机基数/节点强度</x:v>
      </x:c>
      <x:c r="L5" s="54" t="str">
        <x:v>AMAT</x:v>
      </x:c>
    </x:row>
    <x:row r="6" ht="83" customHeight="1">
      <x:c r="A6" s="54" t="str">
        <x:v>process-control-content-intensity</x:v>
      </x:c>
      <x:c r="B6" s="54" t="str">
        <x:v>wafers×steps×capture×spend/step＋service</x:v>
      </x:c>
      <x:c r="C6" s="54" t="str">
        <x:v>检测步骤和份额</x:v>
      </x:c>
      <x:c r="D6" s="54" t="str">
        <x:v>工具产能、客户认证</x:v>
      </x:c>
      <x:c r="E6" s="54" t="str">
        <x:v>内容量－材料/服务成本</x:v>
      </x:c>
      <x:c r="F6" s="54" t="str">
        <x:v>递延/服务</x:v>
      </x:c>
      <x:c r="G6" s="54" t="str">
        <x:v>节点复杂度</x:v>
      </x:c>
      <x:c r="H6" s="54" t="str">
        <x:v>新工具认证</x:v>
      </x:c>
      <x:c r="I6" s="54" t="str">
        <x:v>点值</x:v>
      </x:c>
      <x:c r="J6" s="54" t="str">
        <x:v>节点情景</x:v>
      </x:c>
      <x:c r="K6" s="54" t="str">
        <x:v>内容强度</x:v>
      </x:c>
      <x:c r="L6" s="54" t="str">
        <x:v>KLA</x:v>
      </x:c>
    </x:row>
    <x:row r="7" ht="83" customHeight="1">
      <x:c r="A7" s="54" t="str">
        <x:v>networking-customer-concentration</x:v>
      </x:c>
      <x:c r="B7" s="54" t="str">
        <x:v>deployments×ports×ASP×share</x:v>
      </x:c>
      <x:c r="C7" s="54" t="str">
        <x:v>端口速率/客户份额</x:v>
      </x:c>
      <x:c r="D7" s="54" t="str">
        <x:v>供应链和产品周期</x:v>
      </x:c>
      <x:c r="E7" s="54" t="str">
        <x:v>产品/软件/服务mix</x:v>
      </x:c>
      <x:c r="F7" s="54" t="str">
        <x:v>库存/RPO</x:v>
      </x:c>
      <x:c r="G7" s="54" t="str">
        <x:v>云客户CapEx和集中度</x:v>
      </x:c>
      <x:c r="H7" s="54" t="str">
        <x:v>平台代际</x:v>
      </x:c>
      <x:c r="I7" s="54" t="str">
        <x:v>点值</x:v>
      </x:c>
      <x:c r="J7" s="54" t="str">
        <x:v>客户情景</x:v>
      </x:c>
      <x:c r="K7" s="54" t="str">
        <x:v>平台迁移</x:v>
      </x:c>
      <x:c r="L7" s="54" t="str">
        <x:v>Arista</x:v>
      </x:c>
    </x:row>
    <x:row r="8" ht="83" customHeight="1">
      <x:c r="A8" s="54" t="str">
        <x:v>server-rack-bom-pass-through</x:v>
      </x:c>
      <x:c r="B8" s="54" t="str">
        <x:v>units×BOM/ASP</x:v>
      </x:c>
      <x:c r="C8" s="54" t="str">
        <x:v>高价部件pass-through</x:v>
      </x:c>
      <x:c r="D8" s="54" t="str">
        <x:v>GPU/内存/网络供给</x:v>
      </x:c>
      <x:c r="E8" s="54" t="str">
        <x:v>GP$与margin分开</x:v>
      </x:c>
      <x:c r="F8" s="54" t="str">
        <x:v>库存、应收、预付款</x:v>
      </x:c>
      <x:c r="G8" s="54" t="str">
        <x:v>客户部署</x:v>
      </x:c>
      <x:c r="H8" s="54" t="str">
        <x:v>系统认证</x:v>
      </x:c>
      <x:c r="I8" s="54" t="str">
        <x:v>点值＋现金</x:v>
      </x:c>
      <x:c r="J8" s="54" t="str">
        <x:v>BOM情景</x:v>
      </x:c>
      <x:c r="K8" s="54" t="str">
        <x:v>平台mix</x:v>
      </x:c>
      <x:c r="L8" s="54" t="str">
        <x:v>SMCI</x:v>
      </x:c>
    </x:row>
    <x:row r="9" ht="83" customHeight="1">
      <x:c r="A9" s="54" t="str">
        <x:v>power-cooling-project-backlog</x:v>
      </x:c>
      <x:c r="B9" s="54" t="str">
        <x:v>orders×survival×delivery×acceptance＋service</x:v>
      </x:c>
      <x:c r="C9" s="54" t="str">
        <x:v>price/cost lag</x:v>
      </x:c>
      <x:c r="D9" s="54" t="str">
        <x:v>制造、项目和安装能力</x:v>
      </x:c>
      <x:c r="E9" s="54" t="str">
        <x:v>项目/产品/服务毛利</x:v>
      </x:c>
      <x:c r="F9" s="54" t="str">
        <x:v>WIP、应收、预付款</x:v>
      </x:c>
      <x:c r="G9" s="54" t="str">
        <x:v>数据中心项目</x:v>
      </x:c>
      <x:c r="H9" s="54" t="str">
        <x:v>产品/项目阶段</x:v>
      </x:c>
      <x:c r="I9" s="54" t="str">
        <x:v>点值</x:v>
      </x:c>
      <x:c r="J9" s="54" t="str">
        <x:v>backlog情景</x:v>
      </x:c>
      <x:c r="K9" s="54" t="str">
        <x:v>产能/服务</x:v>
      </x:c>
      <x:c r="L9" s="54" t="str">
        <x:v>Vertiv</x:v>
      </x:c>
    </x:row>
    <x:row r="10" ht="83" customHeight="1">
      <x:c r="A10" s="54" t="str">
        <x:v>osat-advanced-packaging-utilization</x:v>
      </x:c>
      <x:c r="B10" s="54" t="str">
        <x:v>package/test units×content×ASP</x:v>
      </x:c>
      <x:c r="C10" s="54" t="str">
        <x:v>advanced mix</x:v>
      </x:c>
      <x:c r="D10" s="54" t="str">
        <x:v>良率、利用率、CapEx</x:v>
      </x:c>
      <x:c r="E10" s="54" t="str">
        <x:v>材料/折旧/利用率</x:v>
      </x:c>
      <x:c r="F10" s="54" t="str">
        <x:v>CapEx/WC</x:v>
      </x:c>
      <x:c r="G10" s="54" t="str">
        <x:v>客户集中</x:v>
      </x:c>
      <x:c r="H10" s="54" t="str">
        <x:v>认证/量产</x:v>
      </x:c>
      <x:c r="I10" s="54" t="str">
        <x:v>点值</x:v>
      </x:c>
      <x:c r="J10" s="54" t="str">
        <x:v>utilization情景</x:v>
      </x:c>
      <x:c r="K10" s="54" t="str">
        <x:v>内容量/ROIC</x:v>
      </x:c>
      <x:c r="L10" s="54" t="str">
        <x:v>Amkor</x:v>
      </x:c>
    </x:row>
    <x:row r="11" ht="83" customHeight="1">
      <x:c r="A11" s="54" t="str">
        <x:v>semiconductor-materials-content-ma</x:v>
      </x:c>
      <x:c r="B11" s="54" t="str">
        <x:v>wafer starts×steps×content/wafer×share</x:v>
      </x:c>
      <x:c r="C11" s="54" t="str">
        <x:v>材料定价/份额</x:v>
      </x:c>
      <x:c r="D11" s="54" t="str">
        <x:v>认证和产能</x:v>
      </x:c>
      <x:c r="E11" s="54" t="str">
        <x:v>材料成本/利用率/摊销</x:v>
      </x:c>
      <x:c r="F11" s="54" t="str">
        <x:v>库存/CapEx</x:v>
      </x:c>
      <x:c r="G11" s="54" t="str">
        <x:v>fab客户</x:v>
      </x:c>
      <x:c r="H11" s="54" t="str">
        <x:v>资格认证</x:v>
      </x:c>
      <x:c r="I11" s="54" t="str">
        <x:v>点值</x:v>
      </x:c>
      <x:c r="J11" s="54" t="str">
        <x:v>wafer/内容情景</x:v>
      </x:c>
      <x:c r="K11" s="54" t="str">
        <x:v>工艺强度</x:v>
      </x:c>
      <x:c r="L11" s="54" t="str">
        <x:v>Entegris</x:v>
      </x:c>
    </x:row>
    <x:row r="12" ht="83" customHeight="1">
      <x:c r="A12" s="54" t="str">
        <x:v>optics-materials-ma-integration</x:v>
      </x:c>
      <x:c r="B12" s="54" t="str">
        <x:v>design wins×platform units×content＋perimeter</x:v>
      </x:c>
      <x:c r="C12" s="54" t="str">
        <x:v>price erosion/share</x:v>
      </x:c>
      <x:c r="D12" s="54" t="str">
        <x:v>良率、认证、产能</x:v>
      </x:c>
      <x:c r="E12" s="54" t="str">
        <x:v>产品mix＋整合/摊销</x:v>
      </x:c>
      <x:c r="F12" s="54" t="str">
        <x:v>债务/库存/应收</x:v>
      </x:c>
      <x:c r="G12" s="54" t="str">
        <x:v>通信/工业客户</x:v>
      </x:c>
      <x:c r="H12" s="54" t="str">
        <x:v>design win→量产</x:v>
      </x:c>
      <x:c r="I12" s="54" t="str">
        <x:v>点值</x:v>
      </x:c>
      <x:c r="J12" s="54" t="str">
        <x:v>平台＋整合</x:v>
      </x:c>
      <x:c r="K12" s="54" t="str">
        <x:v>技术/并购分布</x:v>
      </x:c>
      <x:c r="L12" s="54" t="str">
        <x:v>Coherent</x:v>
      </x:c>
    </x:row>
    <x:row r="13" ht="83" customHeight="1">
      <x:c r="A13" s="54" t="str">
        <x:v>hybrid-semiconductor-software-ma</x:v>
      </x:c>
      <x:c r="B13" s="54" t="str">
        <x:v>organic chips＋subscription＋acquired perimeter</x:v>
      </x:c>
      <x:c r="C13" s="54" t="str">
        <x:v>产品/订阅价格</x:v>
      </x:c>
      <x:c r="D13" s="54" t="str">
        <x:v>供应和软件交付</x:v>
      </x:c>
      <x:c r="E13" s="54" t="str">
        <x:v>分部利润＋摊销/协同</x:v>
      </x:c>
      <x:c r="F13" s="54" t="str">
        <x:v>债务/去杠杆</x:v>
      </x:c>
      <x:c r="G13" s="54" t="str">
        <x:v>多终端客户</x:v>
      </x:c>
      <x:c r="H13" s="54" t="str">
        <x:v>产品/并购阶段</x:v>
      </x:c>
      <x:c r="I13" s="54" t="str">
        <x:v>点值</x:v>
      </x:c>
      <x:c r="J13" s="54" t="str">
        <x:v>organic/M&amp;A情景</x:v>
      </x:c>
      <x:c r="K13" s="54" t="str">
        <x:v>资本配置</x:v>
      </x:c>
      <x:c r="L13" s="54" t="str">
        <x:v>Broadcom</x:v>
      </x:c>
    </x:row>
    <x:row r="14" ht="83" customHeight="1">
      <x:c r="A14" s="54" t="str">
        <x:v>compute-platform-segments-ma</x:v>
      </x:c>
      <x:c r="B14" s="54" t="str">
        <x:v>Data Center＋Client＋Gaming＋Embedded＋acquired</x:v>
      </x:c>
      <x:c r="C14" s="54" t="str">
        <x:v>平台ASP/share</x:v>
      </x:c>
      <x:c r="D14" s="54" t="str">
        <x:v>代工/封装/内存供给</x:v>
      </x:c>
      <x:c r="E14" s="54" t="str">
        <x:v>分部利润＋All Other/摊销</x:v>
      </x:c>
      <x:c r="F14" s="54" t="str">
        <x:v>库存/采购承诺</x:v>
      </x:c>
      <x:c r="G14" s="54" t="str">
        <x:v>云/PC/游戏/嵌入式</x:v>
      </x:c>
      <x:c r="H14" s="54" t="str">
        <x:v>平台阶段</x:v>
      </x:c>
      <x:c r="I14" s="54" t="str">
        <x:v>点值</x:v>
      </x:c>
      <x:c r="J14" s="54" t="str">
        <x:v>分部情景</x:v>
      </x:c>
      <x:c r="K14" s="54" t="str">
        <x:v>制度切换尾部</x:v>
      </x:c>
      <x:c r="L14" s="54" t="str">
        <x:v>AMD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31" hidden="0" customWidth="1"/>
    <x:col min="4" max="4" width="31" hidden="0" customWidth="1"/>
    <x:col min="5" max="5" width="32" hidden="0" customWidth="1"/>
    <x:col min="6" max="6" width="20" hidden="0" customWidth="1"/>
    <x:col min="7" max="7" width="18" hidden="0" customWidth="1"/>
    <x:col min="8" max="8" width="25" hidden="0" customWidth="1"/>
  </x:cols>
  <x:sheetData>
    <x:row r="1" ht="28" customHeight="1">
      <x:c r="A1" s="4" t="str">
        <x:v>数据源SOP</x:v>
      </x:c>
      <x:c r="B1" s="4" t="str">
        <x:v>数据源SOP</x:v>
      </x:c>
      <x:c r="C1" s="4" t="str">
        <x:v>数据源SOP</x:v>
      </x:c>
      <x:c r="D1" s="4" t="str">
        <x:v>数据源SOP</x:v>
      </x:c>
      <x:c r="E1" s="4" t="str">
        <x:v>数据源SOP</x:v>
      </x:c>
      <x:c r="F1" s="4" t="str">
        <x:v>数据源SOP</x:v>
      </x:c>
      <x:c r="G1" s="4" t="str">
        <x:v>数据源SOP</x:v>
      </x:c>
      <x:c r="H1" s="4" t="str">
        <x:v>数据源SOP</x:v>
      </x:c>
    </x:row>
    <x:row r="2" ht="35" customHeight="1">
      <x:c r="A2" s="11" t="str">
        <x:v>事实、技术、行业研究和市场线索拥有不同模型权限。</x:v>
      </x:c>
      <x:c r="B2" s="11" t="str">
        <x:v>事实、技术、行业研究和市场线索拥有不同模型权限。</x:v>
      </x:c>
      <x:c r="C2" s="11" t="str">
        <x:v>事实、技术、行业研究和市场线索拥有不同模型权限。</x:v>
      </x:c>
      <x:c r="D2" s="11" t="str">
        <x:v>事实、技术、行业研究和市场线索拥有不同模型权限。</x:v>
      </x:c>
      <x:c r="E2" s="11" t="str">
        <x:v>事实、技术、行业研究和市场线索拥有不同模型权限。</x:v>
      </x:c>
      <x:c r="F2" s="11" t="str">
        <x:v>事实、技术、行业研究和市场线索拥有不同模型权限。</x:v>
      </x:c>
      <x:c r="G2" s="11" t="str">
        <x:v>事实、技术、行业研究和市场线索拥有不同模型权限。</x:v>
      </x:c>
      <x:c r="H2" s="11" t="str">
        <x:v>事实、技术、行业研究和市场线索拥有不同模型权限。</x:v>
      </x:c>
    </x:row>
    <x:row r="4" ht="28" customHeight="1">
      <x:c r="A4" s="26" t="str">
        <x:v>等级</x:v>
      </x:c>
      <x:c r="B4" s="26" t="str">
        <x:v>来源</x:v>
      </x:c>
      <x:c r="C4" s="26" t="str">
        <x:v>直接进入</x:v>
      </x:c>
      <x:c r="D4" s="26" t="str">
        <x:v>允许推导</x:v>
      </x:c>
      <x:c r="E4" s="26" t="str">
        <x:v>禁止</x:v>
      </x:c>
      <x:c r="F4" s="26" t="str">
        <x:v>复核</x:v>
      </x:c>
      <x:c r="G4" s="26" t="str">
        <x:v>时效</x:v>
      </x:c>
      <x:c r="H4" s="26" t="str">
        <x:v>例子</x:v>
      </x:c>
    </x:row>
    <x:row r="5" ht="55" customHeight="1">
      <x:c r="A5" s="54" t="str">
        <x:v>E0</x:v>
      </x:c>
      <x:c r="B5" s="54" t="str">
        <x:v>法定财报/监管/实际</x:v>
      </x:c>
      <x:c r="C5" s="54" t="str">
        <x:v>历史和基期</x:v>
      </x:c>
      <x:c r="D5" s="54" t="str">
        <x:v>口径/单位/勾稽</x:v>
      </x:c>
      <x:c r="E5" s="54" t="str">
        <x:v>被传闻覆盖</x:v>
      </x:c>
      <x:c r="F5" s="54" t="str">
        <x:v>原文件＋勾稽</x:v>
      </x:c>
      <x:c r="G5" s="54" t="str">
        <x:v>永久，重述新版本</x:v>
      </x:c>
      <x:c r="H5" s="54" t="str">
        <x:v>10-K/20-F</x:v>
      </x:c>
    </x:row>
    <x:row r="6" ht="55" customHeight="1">
      <x:c r="A6" s="54" t="str">
        <x:v>E1</x:v>
      </x:c>
      <x:c r="B6" s="54" t="str">
        <x:v>官方财报/问答/产品/客户公告</x:v>
      </x:c>
      <x:c r="C6" s="54" t="str">
        <x:v>当期指引/阶段</x:v>
      </x:c>
      <x:c r="D6" s="54" t="str">
        <x:v>执行折扣后进入1年</x:v>
      </x:c>
      <x:c r="E6" s="54" t="str">
        <x:v>送样=量产、平台=供应订单</x:v>
      </x:c>
      <x:c r="F6" s="54" t="str">
        <x:v>与E0一致性</x:v>
      </x:c>
      <x:c r="G6" s="54" t="str">
        <x:v>跨期需更新</x:v>
      </x:c>
      <x:c r="H6" s="54" t="str">
        <x:v>正式量产</x:v>
      </x:c>
    </x:row>
    <x:row r="7" ht="55" customHeight="1">
      <x:c r="A7" s="54" t="str">
        <x:v>E2</x:v>
      </x:c>
      <x:c r="B7" s="54" t="str">
        <x:v>论文/标准/官方技术资料</x:v>
      </x:c>
      <x:c r="C7" s="54" t="str">
        <x:v>技术边界</x:v>
      </x:c>
      <x:c r="D7" s="54" t="str">
        <x:v>参数范围</x:v>
      </x:c>
      <x:c r="E7" s="54" t="str">
        <x:v>直接变订单/收入</x:v>
      </x:c>
      <x:c r="F7" s="54" t="str">
        <x:v>实验条件</x:v>
      </x:c>
      <x:c r="G7" s="54" t="str">
        <x:v>随技术更新</x:v>
      </x:c>
      <x:c r="H7" s="54" t="str">
        <x:v>标准/论文</x:v>
      </x:c>
    </x:row>
    <x:row r="8" ht="55" customHeight="1">
      <x:c r="A8" s="54" t="str">
        <x:v>E3</x:v>
      </x:c>
      <x:c r="B8" s="54" t="str">
        <x:v>行业机构/专家/高质量渠道</x:v>
      </x:c>
      <x:c r="C8" s="54" t="str">
        <x:v>情景/总量/份额</x:v>
      </x:c>
      <x:c r="D8" s="54" t="str">
        <x:v>敏感性</x:v>
      </x:c>
      <x:c r="E8" s="54" t="str">
        <x:v>未经验证成为硬锚</x:v>
      </x:c>
      <x:c r="F8" s="54" t="str">
        <x:v>两类独立来源</x:v>
      </x:c>
      <x:c r="G8" s="54" t="str">
        <x:v>较短</x:v>
      </x:c>
      <x:c r="H8" s="54" t="str">
        <x:v>台数/份额</x:v>
      </x:c>
    </x:row>
    <x:row r="9" ht="55" customHeight="1">
      <x:c r="A9" s="54" t="str">
        <x:v>E4</x:v>
      </x:c>
      <x:c r="B9" s="54" t="str">
        <x:v>匿名/二手/社交/TAM不清</x:v>
      </x:c>
      <x:c r="C9" s="54" t="str">
        <x:v>监测</x:v>
      </x:c>
      <x:c r="D9" s="54" t="str">
        <x:v>检索触发</x:v>
      </x:c>
      <x:c r="E9" s="54" t="str">
        <x:v>进入基准</x:v>
      </x:c>
      <x:c r="F9" s="54" t="str">
        <x:v>不得单独使用</x:v>
      </x:c>
      <x:c r="G9" s="54" t="str">
        <x:v>很短</x:v>
      </x:c>
      <x:c r="H9" s="54" t="str">
        <x:v>市场纪要</x:v>
      </x:c>
    </x:row>
    <x:row r="11" ht="21" customHeight="1">
      <x:c r="A11" s="18" t="str">
        <x:v>Source Pack</x:v>
      </x:c>
      <x:c r="B11" s="18" t="str">
        <x:v>Source Pack</x:v>
      </x:c>
      <x:c r="C11" s="18" t="str">
        <x:v>Source Pack</x:v>
      </x:c>
      <x:c r="D11" s="18" t="str">
        <x:v>Source Pack</x:v>
      </x:c>
      <x:c r="E11" s="18" t="str">
        <x:v>Source Pack</x:v>
      </x:c>
      <x:c r="F11" s="18" t="str">
        <x:v>Source Pack</x:v>
      </x:c>
      <x:c r="G11" s="18" t="str">
        <x:v>Source Pack</x:v>
      </x:c>
      <x:c r="H11" s="18" t="str">
        <x:v>Source Pack</x:v>
      </x:c>
    </x:row>
    <x:row r="12" ht="28" customHeight="1">
      <x:c r="A12" s="26" t="str">
        <x:v>步骤</x:v>
      </x:c>
      <x:c r="B12" s="26" t="str">
        <x:v>动作</x:v>
      </x:c>
      <x:c r="C12" s="26" t="str">
        <x:v>产物</x:v>
      </x:c>
      <x:c r="D12" s="26" t="str">
        <x:v>QA</x:v>
      </x:c>
      <x:c r="E12" s="26" t="str">
        <x:v>失败处理</x:v>
      </x:c>
    </x:row>
    <x:row r="13" ht="43" customHeight="1">
      <x:c r="A13" s="54" t="str">
        <x:v>1</x:v>
      </x:c>
      <x:c r="B13" s="54" t="str">
        <x:v>声明entity/as_of/时区/财年/边界</x:v>
      </x:c>
      <x:c r="C13" s="54" t="str">
        <x:v>forecast brief</x:v>
      </x:c>
      <x:c r="D13" s="54" t="str">
        <x:v>无未来日期</x:v>
      </x:c>
      <x:c r="E13" s="54" t="str">
        <x:v>不清楚则停止</x:v>
      </x:c>
    </x:row>
    <x:row r="14" ht="43" customHeight="1">
      <x:c r="A14" s="54" t="str">
        <x:v>2</x:v>
      </x:c>
      <x:c r="B14" s="54" t="str">
        <x:v>枚举E0→E4来源</x:v>
      </x:c>
      <x:c r="C14" s="54" t="str">
        <x:v>source inventory</x:v>
      </x:c>
      <x:c r="D14" s="54" t="str">
        <x:v>原型必需来源完整</x:v>
      </x:c>
      <x:c r="E14" s="54" t="str">
        <x:v>missing_required_source</x:v>
      </x:c>
    </x:row>
    <x:row r="15" ht="43" customHeight="1">
      <x:c r="A15" s="54" t="str">
        <x:v>3</x:v>
      </x:c>
      <x:c r="B15" s="54" t="str">
        <x:v>保存原文件和hash</x:v>
      </x:c>
      <x:c r="C15" s="54" t="str">
        <x:v>raw pack</x:v>
      </x:c>
      <x:c r="D15" s="54" t="str">
        <x:v>MIME/hash/时间</x:v>
      </x:c>
      <x:c r="E15" s="54" t="str">
        <x:v>镜像降级</x:v>
      </x:c>
    </x:row>
    <x:row r="16" ht="43" customHeight="1">
      <x:c r="A16" s="54" t="str">
        <x:v>4</x:v>
      </x:c>
      <x:c r="B16" s="54" t="str">
        <x:v>事实抽取和原标签</x:v>
      </x:c>
      <x:c r="C16" s="54" t="str">
        <x:v>FactRecord</x:v>
      </x:c>
      <x:c r="D16" s="54" t="str">
        <x:v>单位/期间/口径</x:v>
      </x:c>
      <x:c r="E16" s="54" t="str">
        <x:v>不可精确则不倒推</x:v>
      </x:c>
    </x:row>
    <x:row r="17" ht="43" customHeight="1">
      <x:c r="A17" s="54" t="str">
        <x:v>5</x:v>
      </x:c>
      <x:c r="B17" s="54" t="str">
        <x:v>冲突检测</x:v>
      </x:c>
      <x:c r="C17" s="54" t="str">
        <x:v>conflict log</x:v>
      </x:c>
      <x:c r="D17" s="54" t="str">
        <x:v>不静默覆盖</x:v>
      </x:c>
      <x:c r="E17" s="54" t="str">
        <x:v>保留多版本</x:v>
      </x:c>
    </x:row>
    <x:row r="18" ht="43" customHeight="1">
      <x:c r="A18" s="54" t="str">
        <x:v>6</x:v>
      </x:c>
      <x:c r="B18" s="54" t="str">
        <x:v>企业边界和可比桥</x:v>
      </x:c>
      <x:c r="C18" s="54" t="str">
        <x:v>perimeter bridge</x:v>
      </x:c>
      <x:c r="D18" s="54" t="str">
        <x:v>organic/reported闭环</x:v>
      </x:c>
      <x:c r="E18" s="54" t="str">
        <x:v>不可比则分开</x:v>
      </x:c>
    </x:row>
    <x:row r="19" ht="43" customHeight="1">
      <x:c r="A19" s="54" t="str">
        <x:v>7</x:v>
      </x:c>
      <x:c r="B19" s="54" t="str">
        <x:v>证据分级和权限</x:v>
      </x:c>
      <x:c r="C19" s="54" t="str">
        <x:v>evidence ledger</x:v>
      </x:c>
      <x:c r="D19" s="54" t="str">
        <x:v>无过度升级</x:v>
      </x:c>
      <x:c r="E19" s="54" t="str">
        <x:v>不确定降级</x:v>
      </x:c>
    </x:row>
    <x:row r="20" ht="43" customHeight="1">
      <x:c r="A20" s="54" t="str">
        <x:v>8</x:v>
      </x:c>
      <x:c r="B20" s="54" t="str">
        <x:v>冻结</x:v>
      </x:c>
      <x:c r="C20" s="54" t="str">
        <x:v>source pack hash</x:v>
      </x:c>
      <x:c r="D20" s="54" t="str">
        <x:v>截面后资料未混入</x:v>
      </x:c>
      <x:c r="E20" s="54" t="str">
        <x:v>污染则回测作废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6" hidden="0" customWidth="1"/>
    <x:col min="4" max="4" width="29" hidden="0" customWidth="1"/>
    <x:col min="5" max="5" width="29" hidden="0" customWidth="1"/>
    <x:col min="6" max="6" width="27" hidden="0" customWidth="1"/>
    <x:col min="7" max="7" width="25" hidden="0" customWidth="1"/>
    <x:col min="8" max="8" width="15" hidden="0" customWidth="1"/>
  </x:cols>
  <x:sheetData>
    <x:row r="1" ht="28" customHeight="1">
      <x:c r="A1" s="4" t="str">
        <x:v>预测SOP</x:v>
      </x:c>
      <x:c r="B1" s="4" t="str">
        <x:v>预测SOP</x:v>
      </x:c>
      <x:c r="C1" s="4" t="str">
        <x:v>预测SOP</x:v>
      </x:c>
      <x:c r="D1" s="4" t="str">
        <x:v>预测SOP</x:v>
      </x:c>
      <x:c r="E1" s="4" t="str">
        <x:v>预测SOP</x:v>
      </x:c>
      <x:c r="F1" s="4" t="str">
        <x:v>预测SOP</x:v>
      </x:c>
      <x:c r="G1" s="4" t="str">
        <x:v>预测SOP</x:v>
      </x:c>
      <x:c r="H1" s="4" t="str">
        <x:v>预测SOP</x:v>
      </x:c>
    </x:row>
    <x:row r="2" ht="35" customHeight="1">
      <x:c r="A2" s="11" t="str">
        <x:v>先经营原型、再公式；先Operating Model、后Valuation。</x:v>
      </x:c>
      <x:c r="B2" s="11" t="str">
        <x:v>先经营原型、再公式；先Operating Model、后Valuation。</x:v>
      </x:c>
      <x:c r="C2" s="11" t="str">
        <x:v>先经营原型、再公式；先Operating Model、后Valuation。</x:v>
      </x:c>
      <x:c r="D2" s="11" t="str">
        <x:v>先经营原型、再公式；先Operating Model、后Valuation。</x:v>
      </x:c>
      <x:c r="E2" s="11" t="str">
        <x:v>先经营原型、再公式；先Operating Model、后Valuation。</x:v>
      </x:c>
      <x:c r="F2" s="11" t="str">
        <x:v>先经营原型、再公式；先Operating Model、后Valuation。</x:v>
      </x:c>
      <x:c r="G2" s="11" t="str">
        <x:v>先经营原型、再公式；先Operating Model、后Valuation。</x:v>
      </x:c>
      <x:c r="H2" s="11" t="str">
        <x:v>先经营原型、再公式；先Operating Model、后Valuation。</x:v>
      </x:c>
    </x:row>
    <x:row r="4" ht="28" customHeight="1">
      <x:c r="A4" s="26" t="str">
        <x:v>步骤</x:v>
      </x:c>
      <x:c r="B4" s="26" t="str">
        <x:v>动作</x:v>
      </x:c>
      <x:c r="C4" s="26" t="str">
        <x:v>核心问题</x:v>
      </x:c>
      <x:c r="D4" s="26" t="str">
        <x:v>输入</x:v>
      </x:c>
      <x:c r="E4" s="26" t="str">
        <x:v>输出</x:v>
      </x:c>
      <x:c r="F4" s="26" t="str">
        <x:v>QA</x:v>
      </x:c>
      <x:c r="G4" s="26" t="str">
        <x:v>失败处理</x:v>
      </x:c>
      <x:c r="H4" s="26" t="str">
        <x:v>负责人</x:v>
      </x:c>
    </x:row>
    <x:row r="5" ht="49" customHeight="1">
      <x:c r="A5" s="54" t="str">
        <x:v>0</x:v>
      </x:c>
      <x:c r="B5" s="54" t="str">
        <x:v>定义合同</x:v>
      </x:c>
      <x:c r="C5" s="54" t="str">
        <x:v>预测什么/给谁/截止何时</x:v>
      </x:c>
      <x:c r="D5" s="54" t="str">
        <x:v>任务</x:v>
      </x:c>
      <x:c r="E5" s="54" t="str">
        <x:v>brief</x:v>
      </x:c>
      <x:c r="F5" s="54" t="str">
        <x:v>范围闭合</x:v>
      </x:c>
      <x:c r="G5" s="54" t="str">
        <x:v>一次性列缺口</x:v>
      </x:c>
      <x:c r="H5" s="54" t="str">
        <x:v>负责人</x:v>
      </x:c>
    </x:row>
    <x:row r="6" ht="49" customHeight="1">
      <x:c r="A6" s="54" t="str">
        <x:v>1</x:v>
      </x:c>
      <x:c r="B6" s="54" t="str">
        <x:v>识别原型</x:v>
      </x:c>
      <x:c r="C6" s="54" t="str">
        <x:v>收入由价格/产能/订单/平台/BOM驱动？</x:v>
      </x:c>
      <x:c r="D6" s="54" t="str">
        <x:v>分部资料</x:v>
      </x:c>
      <x:c r="E6" s="54" t="str">
        <x:v>archetype map</x:v>
      </x:c>
      <x:c r="F6" s="54" t="str">
        <x:v>权重100%</x:v>
      </x:c>
      <x:c r="G6" s="54" t="str">
        <x:v>无法分类则停止</x:v>
      </x:c>
      <x:c r="H6" s="54" t="str">
        <x:v>行业</x:v>
      </x:c>
    </x:row>
    <x:row r="7" ht="49" customHeight="1">
      <x:c r="A7" s="54" t="str">
        <x:v>2</x:v>
      </x:c>
      <x:c r="B7" s="54" t="str">
        <x:v>归一和边界桥</x:v>
      </x:c>
      <x:c r="C7" s="54" t="str">
        <x:v>历史是否可比？</x:v>
      </x:c>
      <x:c r="D7" s="54" t="str">
        <x:v>E0/E1</x:v>
      </x:c>
      <x:c r="E7" s="54" t="str">
        <x:v>historicals/perimeter</x:v>
      </x:c>
      <x:c r="F7" s="54" t="str">
        <x:v>报表勾稽</x:v>
      </x:c>
      <x:c r="G7" s="54" t="str">
        <x:v>保留不可比系列</x:v>
      </x:c>
      <x:c r="H7" s="54" t="str">
        <x:v>财务</x:v>
      </x:c>
    </x:row>
    <x:row r="8" ht="49" customHeight="1">
      <x:c r="A8" s="54" t="str">
        <x:v>3</x:v>
      </x:c>
      <x:c r="B8" s="54" t="str">
        <x:v>状态/制度判断</x:v>
      </x:c>
      <x:c r="C8" s="54" t="str">
        <x:v>能否稳定外推？</x:v>
      </x:c>
      <x:c r="D8" s="54" t="str">
        <x:v>库存/订单/利用率</x:v>
      </x:c>
      <x:c r="E8" s="54" t="str">
        <x:v>state probabilities</x:v>
      </x:c>
      <x:c r="F8" s="54" t="str">
        <x:v>冲突显式</x:v>
      </x:c>
      <x:c r="G8" s="54" t="str">
        <x:v>混合概率</x:v>
      </x:c>
      <x:c r="H8" s="54" t="str">
        <x:v>行业</x:v>
      </x:c>
    </x:row>
    <x:row r="9" ht="49" customHeight="1">
      <x:c r="A9" s="54" t="str">
        <x:v>4</x:v>
      </x:c>
      <x:c r="B9" s="54" t="str">
        <x:v>客户需求</x:v>
      </x:c>
      <x:c r="C9" s="54" t="str">
        <x:v>谁部署/付钱/复用？</x:v>
      </x:c>
      <x:c r="D9" s="54" t="str">
        <x:v>客户/平台</x:v>
      </x:c>
      <x:c r="E9" s="54" t="str">
        <x:v>demand tree</x:v>
      </x:c>
      <x:c r="F9" s="54" t="str">
        <x:v>客户确认</x:v>
      </x:c>
      <x:c r="G9" s="54" t="str">
        <x:v>未确认只作需求池</x:v>
      </x:c>
      <x:c r="H9" s="54" t="str">
        <x:v>客户</x:v>
      </x:c>
    </x:row>
    <x:row r="10" ht="49" customHeight="1">
      <x:c r="A10" s="54" t="str">
        <x:v>5</x:v>
      </x:c>
      <x:c r="B10" s="54" t="str">
        <x:v>供给/交付</x:v>
      </x:c>
      <x:c r="C10" s="54" t="str">
        <x:v>能否生产和确认收入？</x:v>
      </x:c>
      <x:c r="D10" s="54" t="str">
        <x:v>产能/良率/项目</x:v>
      </x:c>
      <x:c r="E10" s="54" t="str">
        <x:v>supply path</x:v>
      </x:c>
      <x:c r="F10" s="54" t="str">
        <x:v>无重复</x:v>
      </x:c>
      <x:c r="G10" s="54" t="str">
        <x:v>扩大区间</x:v>
      </x:c>
      <x:c r="H10" s="54" t="str">
        <x:v>供应链</x:v>
      </x:c>
    </x:row>
    <x:row r="11" ht="49" customHeight="1">
      <x:c r="A11" s="54" t="str">
        <x:v>6</x:v>
      </x:c>
      <x:c r="B11" s="54" t="str">
        <x:v>量价成本/边界</x:v>
      </x:c>
      <x:c r="C11" s="54" t="str">
        <x:v>数量、ASP、BOM、perimeter</x:v>
      </x:c>
      <x:c r="D11" s="54" t="str">
        <x:v>KPI/合同</x:v>
      </x:c>
      <x:c r="E11" s="54" t="str">
        <x:v>operating model</x:v>
      </x:c>
      <x:c r="F11" s="54" t="str">
        <x:v>不用泛CAGR</x:v>
      </x:c>
      <x:c r="G11" s="54" t="str">
        <x:v>阻断</x:v>
      </x:c>
      <x:c r="H11" s="54" t="str">
        <x:v>模型</x:v>
      </x:c>
    </x:row>
    <x:row r="12" ht="49" customHeight="1">
      <x:c r="A12" s="54" t="str">
        <x:v>7</x:v>
      </x:c>
      <x:c r="B12" s="54" t="str">
        <x:v>会计现金桥</x:v>
      </x:c>
      <x:c r="C12" s="54" t="str">
        <x:v>经济利润如何进报表和现金？</x:v>
      </x:c>
      <x:c r="D12" s="54" t="str">
        <x:v>财务披露</x:v>
      </x:c>
      <x:c r="E12" s="54" t="str">
        <x:v>P&amp;L/BS/CF</x:v>
      </x:c>
      <x:c r="F12" s="54" t="str">
        <x:v>三表/WC</x:v>
      </x:c>
      <x:c r="G12" s="54" t="str">
        <x:v>降级</x:v>
      </x:c>
      <x:c r="H12" s="54" t="str">
        <x:v>财务</x:v>
      </x:c>
    </x:row>
    <x:row r="13" ht="49" customHeight="1">
      <x:c r="A13" s="54" t="str">
        <x:v>8</x:v>
      </x:c>
      <x:c r="B13" s="54" t="str">
        <x:v>产品阶段闸门</x:v>
      </x:c>
      <x:c r="C13" s="54" t="str">
        <x:v>技术是否商业化？</x:v>
      </x:c>
      <x:c r="D13" s="54" t="str">
        <x:v>样品/认证/客户</x:v>
      </x:c>
      <x:c r="E13" s="54" t="str">
        <x:v>option ledger</x:v>
      </x:c>
      <x:c r="F13" s="54" t="str">
        <x:v>阶段证据</x:v>
      </x:c>
      <x:c r="G13" s="54" t="str">
        <x:v>&lt;3不进大额基准</x:v>
      </x:c>
      <x:c r="H13" s="54" t="str">
        <x:v>技术</x:v>
      </x:c>
    </x:row>
    <x:row r="14" ht="49" customHeight="1">
      <x:c r="A14" s="54" t="str">
        <x:v>9</x:v>
      </x:c>
      <x:c r="B14" s="54" t="str">
        <x:v>情景/分布</x:v>
      </x:c>
      <x:c r="C14" s="54" t="str">
        <x:v>哪些变量跳变？</x:v>
      </x:c>
      <x:c r="D14" s="54" t="str">
        <x:v>全部假设</x:v>
      </x:c>
      <x:c r="E14" s="54" t="str">
        <x:v>scenario tree</x:v>
      </x:c>
      <x:c r="F14" s="54" t="str">
        <x:v>概率100%</x:v>
      </x:c>
      <x:c r="G14" s="54" t="str">
        <x:v>只给阈值</x:v>
      </x:c>
      <x:c r="H14" s="54" t="str">
        <x:v>模型</x:v>
      </x:c>
    </x:row>
    <x:row r="15" ht="49" customHeight="1">
      <x:c r="A15" s="54" t="str">
        <x:v>10</x:v>
      </x:c>
      <x:c r="B15" s="54" t="str">
        <x:v>五线交叉验证</x:v>
      </x:c>
      <x:c r="C15" s="54" t="str">
        <x:v>产品/需求/供给/长期/市场是否一致？</x:v>
      </x:c>
      <x:c r="D15" s="54" t="str">
        <x:v>各模型</x:v>
      </x:c>
      <x:c r="E15" s="54" t="str">
        <x:v>cross-check</x:v>
      </x:c>
      <x:c r="F15" s="54" t="str">
        <x:v>解释差异</x:v>
      </x:c>
      <x:c r="G15" s="54" t="str">
        <x:v>待办/降级</x:v>
      </x:c>
      <x:c r="H15" s="54" t="str">
        <x:v>负责人</x:v>
      </x:c>
    </x:row>
    <x:row r="16" ht="49" customHeight="1">
      <x:c r="A16" s="54" t="str">
        <x:v>11</x:v>
      </x:c>
      <x:c r="B16" s="54" t="str">
        <x:v>估值</x:v>
      </x:c>
      <x:c r="C16" s="54" t="str">
        <x:v>当前价押什么？</x:v>
      </x:c>
      <x:c r="D16" s="54" t="str">
        <x:v>经营/资本</x:v>
      </x:c>
      <x:c r="E16" s="54" t="str">
        <x:v>valuation range</x:v>
      </x:c>
      <x:c r="F16" s="54" t="str">
        <x:v>峰值不永久化</x:v>
      </x:c>
      <x:c r="G16" s="54" t="str">
        <x:v>双视角</x:v>
      </x:c>
      <x:c r="H16" s="54" t="str">
        <x:v>估值</x:v>
      </x:c>
    </x:row>
    <x:row r="17" ht="49" customHeight="1">
      <x:c r="A17" s="54" t="str">
        <x:v>12</x:v>
      </x:c>
      <x:c r="B17" s="54" t="str">
        <x:v>冻结/监测</x:v>
      </x:c>
      <x:c r="C17" s="54" t="str">
        <x:v>未来能否复现？</x:v>
      </x:c>
      <x:c r="D17" s="54" t="str">
        <x:v>全部</x:v>
      </x:c>
      <x:c r="E17" s="54" t="str">
        <x:v>snapshot/triggers</x:v>
      </x:c>
      <x:c r="F17" s="54" t="str">
        <x:v>hash/版本</x:v>
      </x:c>
      <x:c r="G17" s="54" t="str">
        <x:v>不通过不发布</x:v>
      </x:c>
      <x:c r="H17" s="54" t="str">
        <x:v>负责人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28" hidden="0" customWidth="1"/>
    <x:col min="4" max="4" width="25" hidden="0" customWidth="1"/>
    <x:col min="5" max="5" width="29" hidden="0" customWidth="1"/>
    <x:col min="6" max="6" width="27" hidden="0" customWidth="1"/>
    <x:col min="7" max="7" width="28" hidden="0" customWidth="1"/>
    <x:col min="8" max="8" width="24" hidden="0" customWidth="1"/>
  </x:cols>
  <x:sheetData>
    <x:row r="1" ht="28" customHeight="1">
      <x:c r="A1" s="4" t="str">
        <x:v>回测与回归SOP</x:v>
      </x:c>
      <x:c r="B1" s="4" t="str">
        <x:v>回测与回归SOP</x:v>
      </x:c>
      <x:c r="C1" s="4" t="str">
        <x:v>回测与回归SOP</x:v>
      </x:c>
      <x:c r="D1" s="4" t="str">
        <x:v>回测与回归SOP</x:v>
      </x:c>
      <x:c r="E1" s="4" t="str">
        <x:v>回测与回归SOP</x:v>
      </x:c>
      <x:c r="F1" s="4" t="str">
        <x:v>回测与回归SOP</x:v>
      </x:c>
      <x:c r="G1" s="4" t="str">
        <x:v>回测与回归SOP</x:v>
      </x:c>
      <x:c r="H1" s="4" t="str">
        <x:v>回测与回归SOP</x:v>
      </x:c>
    </x:row>
    <x:row r="2" ht="35" customHeight="1">
      <x:c r="A2" s="11" t="str">
        <x:v>新增原型必须同时通过新留出和锁定旧场景回归。</x:v>
      </x:c>
      <x:c r="B2" s="11" t="str">
        <x:v>新增原型必须同时通过新留出和锁定旧场景回归。</x:v>
      </x:c>
      <x:c r="C2" s="11" t="str">
        <x:v>新增原型必须同时通过新留出和锁定旧场景回归。</x:v>
      </x:c>
      <x:c r="D2" s="11" t="str">
        <x:v>新增原型必须同时通过新留出和锁定旧场景回归。</x:v>
      </x:c>
      <x:c r="E2" s="11" t="str">
        <x:v>新增原型必须同时通过新留出和锁定旧场景回归。</x:v>
      </x:c>
      <x:c r="F2" s="11" t="str">
        <x:v>新增原型必须同时通过新留出和锁定旧场景回归。</x:v>
      </x:c>
      <x:c r="G2" s="11" t="str">
        <x:v>新增原型必须同时通过新留出和锁定旧场景回归。</x:v>
      </x:c>
      <x:c r="H2" s="11" t="str">
        <x:v>新增原型必须同时通过新留出和锁定旧场景回归。</x:v>
      </x:c>
    </x:row>
    <x:row r="4" ht="28" customHeight="1">
      <x:c r="A4" s="26" t="str">
        <x:v>步骤</x:v>
      </x:c>
      <x:c r="B4" s="26" t="str">
        <x:v>动作</x:v>
      </x:c>
      <x:c r="C4" s="26" t="str">
        <x:v>产物</x:v>
      </x:c>
      <x:c r="D4" s="26" t="str">
        <x:v>允许</x:v>
      </x:c>
      <x:c r="E4" s="26" t="str">
        <x:v>禁止</x:v>
      </x:c>
      <x:c r="F4" s="26" t="str">
        <x:v>指标</x:v>
      </x:c>
      <x:c r="G4" s="26" t="str">
        <x:v>门槛</x:v>
      </x:c>
      <x:c r="H4" s="26" t="str">
        <x:v>失败处理</x:v>
      </x:c>
    </x:row>
    <x:row r="5" ht="51" customHeight="1">
      <x:c r="A5" s="54" t="str">
        <x:v>1</x:v>
      </x:c>
      <x:c r="B5" s="54" t="str">
        <x:v>预注册样本/指标/门槛/版本</x:v>
      </x:c>
      <x:c r="C5" s="54" t="str">
        <x:v>validation plan</x:v>
      </x:c>
      <x:c r="D5" s="54" t="str">
        <x:v>设计信息</x:v>
      </x:c>
      <x:c r="E5" s="54" t="str">
        <x:v>看结果改门槛</x:v>
      </x:c>
      <x:c r="F5" s="54" t="str">
        <x:v>完整性</x:v>
      </x:c>
      <x:c r="G5" s="54" t="str">
        <x:v>审批</x:v>
      </x:c>
      <x:c r="H5" s="54" t="str">
        <x:v>不开始</x:v>
      </x:c>
    </x:row>
    <x:row r="6" ht="51" customHeight="1">
      <x:c r="A6" s="54" t="str">
        <x:v>2</x:v>
      </x:c>
      <x:c r="B6" s="54" t="str">
        <x:v>历史截面source pack</x:v>
      </x:c>
      <x:c r="C6" s="54" t="str">
        <x:v>snapshot/hash</x:v>
      </x:c>
      <x:c r="D6" s="54" t="str">
        <x:v>截面前资料</x:v>
      </x:c>
      <x:c r="E6" s="54" t="str">
        <x:v>未来泄漏</x:v>
      </x:c>
      <x:c r="F6" s="54" t="str">
        <x:v>anti-leakage</x:v>
      </x:c>
      <x:c r="G6" s="54" t="str">
        <x:v>零污染</x:v>
      </x:c>
      <x:c r="H6" s="54" t="str">
        <x:v>样本作废</x:v>
      </x:c>
    </x:row>
    <x:row r="7" ht="51" customHeight="1">
      <x:c r="A7" s="54" t="str">
        <x:v>3</x:v>
      </x:c>
      <x:c r="B7" s="54" t="str">
        <x:v>校准/伪留出/制度切换拆分</x:v>
      </x:c>
      <x:c r="C7" s="54" t="str">
        <x:v>split manifest</x:v>
      </x:c>
      <x:c r="D7" s="54" t="str">
        <x:v>原型和年代分层</x:v>
      </x:c>
      <x:c r="E7" s="54" t="str">
        <x:v>全进校准</x:v>
      </x:c>
      <x:c r="F7" s="54" t="str">
        <x:v>独立性</x:v>
      </x:c>
      <x:c r="G7" s="54" t="str">
        <x:v>至少一个留出</x:v>
      </x:c>
      <x:c r="H7" s="54" t="str">
        <x:v>只称案例</x:v>
      </x:c>
    </x:row>
    <x:row r="8" ht="51" customHeight="1">
      <x:c r="A8" s="54" t="str">
        <x:v>4</x:v>
      </x:c>
      <x:c r="B8" s="54" t="str">
        <x:v>冻结旧基准</x:v>
      </x:c>
      <x:c r="C8" s="54" t="str">
        <x:v>legacy benchmark</x:v>
      </x:c>
      <x:c r="D8" s="54" t="str">
        <x:v>不变预测</x:v>
      </x:c>
      <x:c r="E8" s="54" t="str">
        <x:v>回写旧值</x:v>
      </x:c>
      <x:c r="F8" s="54" t="str">
        <x:v>零回归</x:v>
      </x:c>
      <x:c r="G8" s="54" t="str">
        <x:v>差异0</x:v>
      </x:c>
      <x:c r="H8" s="54" t="str">
        <x:v>拒绝版本</x:v>
      </x:c>
    </x:row>
    <x:row r="9" ht="51" customHeight="1">
      <x:c r="A9" s="54" t="str">
        <x:v>5</x:v>
      </x:c>
      <x:c r="B9" s="54" t="str">
        <x:v>运行新原型</x:v>
      </x:c>
      <x:c r="C9" s="54" t="str">
        <x:v>forecast snapshots</x:v>
      </x:c>
      <x:c r="D9" s="54" t="str">
        <x:v>冻结输入</x:v>
      </x:c>
      <x:c r="E9" s="54" t="str">
        <x:v>事后改留出点值</x:v>
      </x:c>
      <x:c r="F9" s="54" t="str">
        <x:v>MAPE/pp/方向/符号</x:v>
      </x:c>
      <x:c r="G9" s="54" t="str">
        <x:v>预设门槛</x:v>
      </x:c>
      <x:c r="H9" s="54" t="str">
        <x:v>结构归因</x:v>
      </x:c>
    </x:row>
    <x:row r="10" ht="51" customHeight="1">
      <x:c r="A10" s="54" t="str">
        <x:v>6</x:v>
      </x:c>
      <x:c r="B10" s="54" t="str">
        <x:v>区间与锐度</x:v>
      </x:c>
      <x:c r="C10" s="54" t="str">
        <x:v>interval score</x:v>
      </x:c>
      <x:c r="D10" s="54" t="str">
        <x:v>系统化宽度</x:v>
      </x:c>
      <x:c r="E10" s="54" t="str">
        <x:v>只看覆盖</x:v>
      </x:c>
      <x:c r="F10" s="54" t="str">
        <x:v>coverage+score</x:v>
      </x:c>
      <x:c r="G10" s="54" t="str">
        <x:v>改善≥30%</x:v>
      </x:c>
      <x:c r="H10" s="54" t="str">
        <x:v>拒绝</x:v>
      </x:c>
    </x:row>
    <x:row r="11" ht="51" customHeight="1">
      <x:c r="A11" s="54" t="str">
        <x:v>7</x:v>
      </x:c>
      <x:c r="B11" s="54" t="str">
        <x:v>误差归因</x:v>
      </x:c>
      <x:c r="C11" s="54" t="str">
        <x:v>error ledger</x:v>
      </x:c>
      <x:c r="D11" s="54" t="str">
        <x:v>DATA/PERIMETER/STATE等</x:v>
      </x:c>
      <x:c r="E11" s="54" t="str">
        <x:v>只调增长率</x:v>
      </x:c>
      <x:c r="F11" s="54" t="str">
        <x:v>可泛化性</x:v>
      </x:c>
      <x:c r="G11" s="54" t="str">
        <x:v>跨案例机制</x:v>
      </x:c>
      <x:c r="H11" s="54" t="str">
        <x:v>保留失败</x:v>
      </x:c>
    </x:row>
    <x:row r="12" ht="51" customHeight="1">
      <x:c r="A12" s="54" t="str">
        <x:v>8</x:v>
      </x:c>
      <x:c r="B12" s="54" t="str">
        <x:v>回归测试</x:v>
      </x:c>
      <x:c r="C12" s="54" t="str">
        <x:v>regression report</x:v>
      </x:c>
      <x:c r="D12" s="54" t="str">
        <x:v>旧样本全部</x:v>
      </x:c>
      <x:c r="E12" s="54" t="str">
        <x:v>选择性样本</x:v>
      </x:c>
      <x:c r="F12" s="54" t="str">
        <x:v>退化</x:v>
      </x:c>
      <x:c r="G12" s="54" t="str">
        <x:v>收入≤0.5pp/利润≤1pp</x:v>
      </x:c>
      <x:c r="H12" s="54" t="str">
        <x:v>回滚</x:v>
      </x:c>
    </x:row>
    <x:row r="13" ht="51" customHeight="1">
      <x:c r="A13" s="54" t="str">
        <x:v>9</x:v>
      </x:c>
      <x:c r="B13" s="54" t="str">
        <x:v>红队和发布</x:v>
      </x:c>
      <x:c r="C13" s="54" t="str">
        <x:v>audit package</x:v>
      </x:c>
      <x:c r="D13" s="54" t="str">
        <x:v>失败全披露</x:v>
      </x:c>
      <x:c r="E13" s="54" t="str">
        <x:v>只报成功</x:v>
      </x:c>
      <x:c r="F13" s="54" t="str">
        <x:v>透明度</x:v>
      </x:c>
      <x:c r="G13" s="54" t="str">
        <x:v>无P0</x:v>
      </x:c>
      <x:c r="H13" s="54" t="str">
        <x:v>降级</x:v>
      </x:c>
    </x:row>
    <x:row r="14" ht="51" customHeight="1">
      <x:c r="A14" s="54" t="str">
        <x:v>10</x:v>
      </x:c>
      <x:c r="B14" s="54" t="str">
        <x:v>未来滚动</x:v>
      </x:c>
      <x:c r="C14" s="54" t="str">
        <x:v>live scorecard</x:v>
      </x:c>
      <x:c r="D14" s="54" t="str">
        <x:v>只追加Actual</x:v>
      </x:c>
      <x:c r="E14" s="54" t="str">
        <x:v>回改Snapshot</x:v>
      </x:c>
      <x:c r="F14" s="54" t="str">
        <x:v>真实误差</x:v>
      </x:c>
      <x:c r="G14" s="54" t="str">
        <x:v>4–8季度</x:v>
      </x:c>
      <x:c r="H14" s="54" t="str">
        <x:v>不晋级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3" hidden="0" customWidth="1"/>
    <x:col min="2" max="2" width="25" hidden="0" customWidth="1"/>
    <x:col min="3" max="3" width="15" hidden="0" customWidth="1"/>
    <x:col min="4" max="4" width="15" hidden="0" customWidth="1"/>
    <x:col min="5" max="5" width="35" hidden="0" customWidth="1"/>
  </x:cols>
  <x:sheetData>
    <x:row r="1" ht="28" customHeight="1">
      <x:c r="A1" s="4" t="str">
        <x:v>Skill包文件清单与兼容性</x:v>
      </x:c>
      <x:c r="B1" s="4" t="str">
        <x:v>Skill包文件清单与兼容性</x:v>
      </x:c>
      <x:c r="C1" s="4" t="str">
        <x:v>Skill包文件清单与兼容性</x:v>
      </x:c>
      <x:c r="D1" s="4" t="str">
        <x:v>Skill包文件清单与兼容性</x:v>
      </x:c>
      <x:c r="E1" s="4" t="str">
        <x:v>Skill包文件清单与兼容性</x:v>
      </x:c>
      <x:c r="F1" s="4" t="str">
        <x:v>Skill包文件清单与兼容性</x:v>
      </x:c>
      <x:c r="G1" s="4" t="str">
        <x:v>Skill包文件清单与兼容性</x:v>
      </x:c>
      <x:c r="H1" s="4" t="str">
        <x:v>Skill包文件清单与兼容性</x:v>
      </x:c>
    </x:row>
    <x:row r="2" ht="35" customHeight="1">
      <x:c r="A2" s="11" t="str">
        <x:v>同一个skills/ai-hardware-forecasting目录同时符合Codex和Claude的Agent Skills结构。</x:v>
      </x:c>
      <x:c r="B2" s="11" t="str">
        <x:v>同一个skills/ai-hardware-forecasting目录同时符合Codex和Claude的Agent Skills结构。</x:v>
      </x:c>
      <x:c r="C2" s="11" t="str">
        <x:v>同一个skills/ai-hardware-forecasting目录同时符合Codex和Claude的Agent Skills结构。</x:v>
      </x:c>
      <x:c r="D2" s="11" t="str">
        <x:v>同一个skills/ai-hardware-forecasting目录同时符合Codex和Claude的Agent Skills结构。</x:v>
      </x:c>
      <x:c r="E2" s="11" t="str">
        <x:v>同一个skills/ai-hardware-forecasting目录同时符合Codex和Claude的Agent Skills结构。</x:v>
      </x:c>
      <x:c r="F2" s="11" t="str">
        <x:v>同一个skills/ai-hardware-forecasting目录同时符合Codex和Claude的Agent Skills结构。</x:v>
      </x:c>
      <x:c r="G2" s="11" t="str">
        <x:v>同一个skills/ai-hardware-forecasting目录同时符合Codex和Claude的Agent Skills结构。</x:v>
      </x:c>
      <x:c r="H2" s="11" t="str">
        <x:v>同一个skills/ai-hardware-forecasting目录同时符合Codex和Claude的Agent Skills结构。</x:v>
      </x:c>
    </x:row>
    <x:row r="4" ht="28" customHeight="1">
      <x:c r="A4" s="26" t="str">
        <x:v>相对路径</x:v>
      </x:c>
      <x:c r="B4" s="26" t="str">
        <x:v>类别</x:v>
      </x:c>
      <x:c r="C4" s="26" t="str">
        <x:v>Codex</x:v>
      </x:c>
      <x:c r="D4" s="26" t="str">
        <x:v>Claude</x:v>
      </x:c>
      <x:c r="E4" s="26" t="str">
        <x:v>说明</x:v>
      </x:c>
    </x:row>
    <x:row r="5" ht="27" customHeight="1">
      <x:c r="A5" s="54" t="str">
        <x:v>.claude-plugin/plugin.json</x:v>
      </x:c>
      <x:c r="B5" s="54" t="str">
        <x:v>Claude manifest</x:v>
      </x:c>
      <x:c r="C5" s="54" t="str">
        <x:v>否</x:v>
      </x:c>
      <x:c r="D5" s="54" t="str">
        <x:v>是</x:v>
      </x:c>
      <x:c r="E5" s="54" t="str"/>
    </x:row>
    <x:row r="6" ht="27" customHeight="1">
      <x:c r="A6" s="54" t="str">
        <x:v>.codex-plugin/plugin.json</x:v>
      </x:c>
      <x:c r="B6" s="54" t="str">
        <x:v>Codex manifest</x:v>
      </x:c>
      <x:c r="C6" s="54" t="str">
        <x:v>是</x:v>
      </x:c>
      <x:c r="D6" s="54" t="str">
        <x:v>否</x:v>
      </x:c>
      <x:c r="E6" s="54" t="str"/>
    </x:row>
    <x:row r="7" ht="27" customHeight="1">
      <x:c r="A7" s="54" t="str">
        <x:v>AGENTS.md</x:v>
      </x:c>
      <x:c r="B7" s="54" t="str">
        <x:v>Root</x:v>
      </x:c>
      <x:c r="C7" s="54" t="str">
        <x:v>可用</x:v>
      </x:c>
      <x:c r="D7" s="54" t="str">
        <x:v>可用</x:v>
      </x:c>
      <x:c r="E7" s="54" t="str"/>
    </x:row>
    <x:row r="8" ht="27" customHeight="1">
      <x:c r="A8" s="54" t="str">
        <x:v>CHANGELOG.md</x:v>
      </x:c>
      <x:c r="B8" s="54" t="str">
        <x:v>Root</x:v>
      </x:c>
      <x:c r="C8" s="54" t="str">
        <x:v>可用</x:v>
      </x:c>
      <x:c r="D8" s="54" t="str">
        <x:v>可用</x:v>
      </x:c>
      <x:c r="E8" s="54" t="str"/>
    </x:row>
    <x:row r="9" ht="27" customHeight="1">
      <x:c r="A9" s="54" t="str">
        <x:v>INSTALL.md</x:v>
      </x:c>
      <x:c r="B9" s="54" t="str">
        <x:v>Root</x:v>
      </x:c>
      <x:c r="C9" s="54" t="str">
        <x:v>可用</x:v>
      </x:c>
      <x:c r="D9" s="54" t="str">
        <x:v>可用</x:v>
      </x:c>
      <x:c r="E9" s="54" t="str"/>
    </x:row>
    <x:row r="10" ht="27" customHeight="1">
      <x:c r="A10" s="54" t="str">
        <x:v>LICENSE.txt</x:v>
      </x:c>
      <x:c r="B10" s="54" t="str">
        <x:v>Root</x:v>
      </x:c>
      <x:c r="C10" s="54" t="str">
        <x:v>可用</x:v>
      </x:c>
      <x:c r="D10" s="54" t="str">
        <x:v>可用</x:v>
      </x:c>
      <x:c r="E10" s="54" t="str"/>
    </x:row>
    <x:row r="11" ht="27" customHeight="1">
      <x:c r="A11" s="54" t="str">
        <x:v>README.md</x:v>
      </x:c>
      <x:c r="B11" s="54" t="str">
        <x:v>Root</x:v>
      </x:c>
      <x:c r="C11" s="54" t="str">
        <x:v>可用</x:v>
      </x:c>
      <x:c r="D11" s="54" t="str">
        <x:v>可用</x:v>
      </x:c>
      <x:c r="E11" s="54" t="str"/>
    </x:row>
    <x:row r="12" ht="27" customHeight="1">
      <x:c r="A12" s="54" t="str">
        <x:v>RELEASE_NOTES.md</x:v>
      </x:c>
      <x:c r="B12" s="54" t="str">
        <x:v>Root</x:v>
      </x:c>
      <x:c r="C12" s="54" t="str">
        <x:v>可用</x:v>
      </x:c>
      <x:c r="D12" s="54" t="str">
        <x:v>可用</x:v>
      </x:c>
      <x:c r="E12" s="54" t="str"/>
    </x:row>
    <x:row r="13" ht="27" customHeight="1">
      <x:c r="A13" s="54" t="str">
        <x:v>dist/ai-hardware-forecasting.skill</x:v>
      </x:c>
      <x:c r="B13" s="54" t="str">
        <x:v>Portable Skill</x:v>
      </x:c>
      <x:c r="C13" s="54" t="str">
        <x:v>可解压</x:v>
      </x:c>
      <x:c r="D13" s="54" t="str">
        <x:v>可安装/解压</x:v>
      </x:c>
      <x:c r="E13" s="54" t="str"/>
    </x:row>
    <x:row r="14" ht="27" customHeight="1">
      <x:c r="A14" s="54" t="str">
        <x:v>dist/self-test-backtest/detail.csv</x:v>
      </x:c>
      <x:c r="B14" s="54" t="str">
        <x:v>Root</x:v>
      </x:c>
      <x:c r="C14" s="54" t="str">
        <x:v>可用</x:v>
      </x:c>
      <x:c r="D14" s="54" t="str">
        <x:v>可用</x:v>
      </x:c>
      <x:c r="E14" s="54" t="str"/>
    </x:row>
    <x:row r="15" ht="27" customHeight="1">
      <x:c r="A15" s="54" t="str">
        <x:v>dist/self-test-backtest/metrics.json</x:v>
      </x:c>
      <x:c r="B15" s="54" t="str">
        <x:v>Root</x:v>
      </x:c>
      <x:c r="C15" s="54" t="str">
        <x:v>可用</x:v>
      </x:c>
      <x:c r="D15" s="54" t="str">
        <x:v>可用</x:v>
      </x:c>
      <x:c r="E15" s="54" t="str"/>
    </x:row>
    <x:row r="16" ht="27" customHeight="1">
      <x:c r="A16" s="54" t="str">
        <x:v>skills/ai-hardware-forecasting/LICENSE.txt</x:v>
      </x:c>
      <x:c r="B16" s="54" t="str">
        <x:v>Root</x:v>
      </x:c>
      <x:c r="C16" s="54" t="str">
        <x:v>可用</x:v>
      </x:c>
      <x:c r="D16" s="54" t="str">
        <x:v>可用</x:v>
      </x:c>
      <x:c r="E16" s="54" t="str"/>
    </x:row>
    <x:row r="17" ht="27" customHeight="1">
      <x:c r="A17" s="54" t="str">
        <x:v>skills/ai-hardware-forecasting/SKILL.md</x:v>
      </x:c>
      <x:c r="B17" s="54" t="str">
        <x:v>Skill</x:v>
      </x:c>
      <x:c r="C17" s="54" t="str">
        <x:v>是</x:v>
      </x:c>
      <x:c r="D17" s="54" t="str">
        <x:v>是</x:v>
      </x:c>
      <x:c r="E17" s="54" t="str"/>
    </x:row>
    <x:row r="18" ht="27" customHeight="1">
      <x:c r="A18" s="54" t="str">
        <x:v>skills/ai-hardware-forecasting/agents/openai.yaml</x:v>
      </x:c>
      <x:c r="B18" s="54" t="str">
        <x:v>OpenAI UI metadata</x:v>
      </x:c>
      <x:c r="C18" s="54" t="str">
        <x:v>是</x:v>
      </x:c>
      <x:c r="D18" s="54" t="str">
        <x:v>忽略</x:v>
      </x:c>
      <x:c r="E18" s="54" t="str"/>
    </x:row>
    <x:row r="19" ht="27" customHeight="1">
      <x:c r="A19" s="54" t="str">
        <x:v>skills/ai-hardware-forecasting/assets/benchmarks/legacy_v5_forecasts.csv</x:v>
      </x:c>
      <x:c r="B19" s="54" t="str">
        <x:v>Asset</x:v>
      </x:c>
      <x:c r="C19" s="54" t="str">
        <x:v>可用</x:v>
      </x:c>
      <x:c r="D19" s="54" t="str">
        <x:v>可用</x:v>
      </x:c>
      <x:c r="E19" s="54" t="str"/>
    </x:row>
    <x:row r="20" ht="27" customHeight="1">
      <x:c r="A20" s="54" t="str">
        <x:v>skills/ai-hardware-forecasting/assets/benchmarks/legacy_v6_regression.csv</x:v>
      </x:c>
      <x:c r="B20" s="54" t="str">
        <x:v>Asset</x:v>
      </x:c>
      <x:c r="C20" s="54" t="str">
        <x:v>可用</x:v>
      </x:c>
      <x:c r="D20" s="54" t="str">
        <x:v>可用</x:v>
      </x:c>
      <x:c r="E20" s="54" t="str"/>
    </x:row>
    <x:row r="21" ht="27" customHeight="1">
      <x:c r="A21" s="54" t="str">
        <x:v>skills/ai-hardware-forecasting/assets/benchmarks/new_cases.json</x:v>
      </x:c>
      <x:c r="B21" s="54" t="str">
        <x:v>Asset</x:v>
      </x:c>
      <x:c r="C21" s="54" t="str">
        <x:v>可用</x:v>
      </x:c>
      <x:c r="D21" s="54" t="str">
        <x:v>可用</x:v>
      </x:c>
      <x:c r="E21" s="54" t="str"/>
    </x:row>
    <x:row r="22" ht="27" customHeight="1">
      <x:c r="A22" s="54" t="str">
        <x:v>skills/ai-hardware-forecasting/assets/benchmarks/new_value_chain_benchmark.csv</x:v>
      </x:c>
      <x:c r="B22" s="54" t="str">
        <x:v>Asset</x:v>
      </x:c>
      <x:c r="C22" s="54" t="str">
        <x:v>可用</x:v>
      </x:c>
      <x:c r="D22" s="54" t="str">
        <x:v>可用</x:v>
      </x:c>
      <x:c r="E22" s="54" t="str"/>
    </x:row>
    <x:row r="23" ht="27" customHeight="1">
      <x:c r="A23" s="54" t="str">
        <x:v>skills/ai-hardware-forecasting/assets/benchmarks/source_ledger.csv</x:v>
      </x:c>
      <x:c r="B23" s="54" t="str">
        <x:v>Asset</x:v>
      </x:c>
      <x:c r="C23" s="54" t="str">
        <x:v>可用</x:v>
      </x:c>
      <x:c r="D23" s="54" t="str">
        <x:v>可用</x:v>
      </x:c>
      <x:c r="E23" s="54" t="str"/>
    </x:row>
    <x:row r="24" ht="27" customHeight="1">
      <x:c r="A24" s="54" t="str">
        <x:v>skills/ai-hardware-forecasting/assets/reports/combined_validation_metrics.json</x:v>
      </x:c>
      <x:c r="B24" s="54" t="str">
        <x:v>Asset</x:v>
      </x:c>
      <x:c r="C24" s="54" t="str">
        <x:v>可用</x:v>
      </x:c>
      <x:c r="D24" s="54" t="str">
        <x:v>可用</x:v>
      </x:c>
      <x:c r="E24" s="54" t="str"/>
    </x:row>
    <x:row r="25" ht="27" customHeight="1">
      <x:c r="A25" s="54" t="str">
        <x:v>skills/ai-hardware-forecasting/assets/reports/new_benchmark_detail.csv</x:v>
      </x:c>
      <x:c r="B25" s="54" t="str">
        <x:v>Asset</x:v>
      </x:c>
      <x:c r="C25" s="54" t="str">
        <x:v>可用</x:v>
      </x:c>
      <x:c r="D25" s="54" t="str">
        <x:v>可用</x:v>
      </x:c>
      <x:c r="E25" s="54" t="str"/>
    </x:row>
    <x:row r="26" ht="27" customHeight="1">
      <x:c r="A26" s="54" t="str">
        <x:v>skills/ai-hardware-forecasting/assets/reports/new_benchmark_metrics.json</x:v>
      </x:c>
      <x:c r="B26" s="54" t="str">
        <x:v>Asset</x:v>
      </x:c>
      <x:c r="C26" s="54" t="str">
        <x:v>可用</x:v>
      </x:c>
      <x:c r="D26" s="54" t="str">
        <x:v>可用</x:v>
      </x:c>
      <x:c r="E26" s="54" t="str"/>
    </x:row>
    <x:row r="27" ht="27" customHeight="1">
      <x:c r="A27" s="54" t="str">
        <x:v>skills/ai-hardware-forecasting/assets/reports/v6_validation_report.md</x:v>
      </x:c>
      <x:c r="B27" s="54" t="str">
        <x:v>Asset</x:v>
      </x:c>
      <x:c r="C27" s="54" t="str">
        <x:v>可用</x:v>
      </x:c>
      <x:c r="D27" s="54" t="str">
        <x:v>可用</x:v>
      </x:c>
      <x:c r="E27" s="54" t="str"/>
    </x:row>
    <x:row r="28" ht="27" customHeight="1">
      <x:c r="A28" s="54" t="str">
        <x:v>skills/ai-hardware-forecasting/assets/reports/v6_validation_report.xlsx</x:v>
      </x:c>
      <x:c r="B28" s="54" t="str">
        <x:v>Asset</x:v>
      </x:c>
      <x:c r="C28" s="54" t="str">
        <x:v>可用</x:v>
      </x:c>
      <x:c r="D28" s="54" t="str">
        <x:v>可用</x:v>
      </x:c>
      <x:c r="E28" s="54" t="str"/>
    </x:row>
    <x:row r="29" ht="27" customHeight="1">
      <x:c r="A29" s="54" t="str">
        <x:v>skills/ai-hardware-forecasting/assets/schemas/backtest_result.schema.json</x:v>
      </x:c>
      <x:c r="B29" s="54" t="str">
        <x:v>Asset</x:v>
      </x:c>
      <x:c r="C29" s="54" t="str">
        <x:v>可用</x:v>
      </x:c>
      <x:c r="D29" s="54" t="str">
        <x:v>可用</x:v>
      </x:c>
      <x:c r="E29" s="54" t="str"/>
    </x:row>
    <x:row r="30" ht="27" customHeight="1">
      <x:c r="A30" s="54" t="str">
        <x:v>skills/ai-hardware-forecasting/assets/schemas/forecast_case.schema.json</x:v>
      </x:c>
      <x:c r="B30" s="54" t="str">
        <x:v>Asset</x:v>
      </x:c>
      <x:c r="C30" s="54" t="str">
        <x:v>可用</x:v>
      </x:c>
      <x:c r="D30" s="54" t="str">
        <x:v>可用</x:v>
      </x:c>
      <x:c r="E30" s="54" t="str"/>
    </x:row>
    <x:row r="31" ht="27" customHeight="1">
      <x:c r="A31" s="54" t="str">
        <x:v>skills/ai-hardware-forecasting/assets/schemas/forecast_snapshot.schema.json</x:v>
      </x:c>
      <x:c r="B31" s="54" t="str">
        <x:v>Asset</x:v>
      </x:c>
      <x:c r="C31" s="54" t="str">
        <x:v>可用</x:v>
      </x:c>
      <x:c r="D31" s="54" t="str">
        <x:v>可用</x:v>
      </x:c>
      <x:c r="E31" s="54" t="str"/>
    </x:row>
    <x:row r="32" ht="27" customHeight="1">
      <x:c r="A32" s="54" t="str">
        <x:v>skills/ai-hardware-forecasting/assets/schemas/source_record.schema.json</x:v>
      </x:c>
      <x:c r="B32" s="54" t="str">
        <x:v>Asset</x:v>
      </x:c>
      <x:c r="C32" s="54" t="str">
        <x:v>可用</x:v>
      </x:c>
      <x:c r="D32" s="54" t="str">
        <x:v>可用</x:v>
      </x:c>
      <x:c r="E32" s="54" t="str"/>
    </x:row>
    <x:row r="33" ht="27" customHeight="1">
      <x:c r="A33" s="54" t="str">
        <x:v>skills/ai-hardware-forecasting/assets/templates/assumption_register_template.csv</x:v>
      </x:c>
      <x:c r="B33" s="54" t="str">
        <x:v>Asset</x:v>
      </x:c>
      <x:c r="C33" s="54" t="str">
        <x:v>可用</x:v>
      </x:c>
      <x:c r="D33" s="54" t="str">
        <x:v>可用</x:v>
      </x:c>
      <x:c r="E33" s="54" t="str"/>
    </x:row>
    <x:row r="34" ht="27" customHeight="1">
      <x:c r="A34" s="54" t="str">
        <x:v>skills/ai-hardware-forecasting/assets/templates/case_template.json</x:v>
      </x:c>
      <x:c r="B34" s="54" t="str">
        <x:v>Asset</x:v>
      </x:c>
      <x:c r="C34" s="54" t="str">
        <x:v>可用</x:v>
      </x:c>
      <x:c r="D34" s="54" t="str">
        <x:v>可用</x:v>
      </x:c>
      <x:c r="E34" s="54" t="str"/>
    </x:row>
    <x:row r="35" ht="27" customHeight="1">
      <x:c r="A35" s="54" t="str">
        <x:v>skills/ai-hardware-forecasting/assets/templates/forecast_snapshot_template.json</x:v>
      </x:c>
      <x:c r="B35" s="54" t="str">
        <x:v>Asset</x:v>
      </x:c>
      <x:c r="C35" s="54" t="str">
        <x:v>可用</x:v>
      </x:c>
      <x:c r="D35" s="54" t="str">
        <x:v>可用</x:v>
      </x:c>
      <x:c r="E35" s="54" t="str"/>
    </x:row>
    <x:row r="36" ht="27" customHeight="1">
      <x:c r="A36" s="54" t="str">
        <x:v>skills/ai-hardware-forecasting/assets/templates/source_manifest_template.json</x:v>
      </x:c>
      <x:c r="B36" s="54" t="str">
        <x:v>Asset</x:v>
      </x:c>
      <x:c r="C36" s="54" t="str">
        <x:v>可用</x:v>
      </x:c>
      <x:c r="D36" s="54" t="str">
        <x:v>可用</x:v>
      </x:c>
      <x:c r="E36" s="54" t="str"/>
    </x:row>
    <x:row r="37" ht="27" customHeight="1">
      <x:c r="A37" s="54" t="str">
        <x:v>skills/ai-hardware-forecasting/evals/trigger_prompts.jsonl</x:v>
      </x:c>
      <x:c r="B37" s="54" t="str">
        <x:v>Root</x:v>
      </x:c>
      <x:c r="C37" s="54" t="str">
        <x:v>可用</x:v>
      </x:c>
      <x:c r="D37" s="54" t="str">
        <x:v>可用</x:v>
      </x:c>
      <x:c r="E37" s="54" t="str"/>
    </x:row>
    <x:row r="38" ht="27" customHeight="1">
      <x:c r="A38" s="54" t="str">
        <x:v>skills/ai-hardware-forecasting/evals/workflow_cases.jsonl</x:v>
      </x:c>
      <x:c r="B38" s="54" t="str">
        <x:v>Root</x:v>
      </x:c>
      <x:c r="C38" s="54" t="str">
        <x:v>可用</x:v>
      </x:c>
      <x:c r="D38" s="54" t="str">
        <x:v>可用</x:v>
      </x:c>
      <x:c r="E38" s="54" t="str"/>
    </x:row>
    <x:row r="39" ht="27" customHeight="1">
      <x:c r="A39" s="54" t="str">
        <x:v>skills/ai-hardware-forecasting/references/accounting-and-perimeter-bridges.md</x:v>
      </x:c>
      <x:c r="B39" s="54" t="str">
        <x:v>Reference</x:v>
      </x:c>
      <x:c r="C39" s="54" t="str">
        <x:v>按需</x:v>
      </x:c>
      <x:c r="D39" s="54" t="str">
        <x:v>按需</x:v>
      </x:c>
      <x:c r="E39" s="54" t="str"/>
    </x:row>
    <x:row r="40" ht="27" customHeight="1">
      <x:c r="A40" s="54" t="str">
        <x:v>skills/ai-hardware-forecasting/references/backtest-sop.md</x:v>
      </x:c>
      <x:c r="B40" s="54" t="str">
        <x:v>Reference</x:v>
      </x:c>
      <x:c r="C40" s="54" t="str">
        <x:v>按需</x:v>
      </x:c>
      <x:c r="D40" s="54" t="str">
        <x:v>按需</x:v>
      </x:c>
      <x:c r="E40" s="54" t="str"/>
    </x:row>
    <x:row r="41" ht="27" customHeight="1">
      <x:c r="A41" s="54" t="str">
        <x:v>skills/ai-hardware-forecasting/references/evidence-hierarchy.md</x:v>
      </x:c>
      <x:c r="B41" s="54" t="str">
        <x:v>Reference</x:v>
      </x:c>
      <x:c r="C41" s="54" t="str">
        <x:v>按需</x:v>
      </x:c>
      <x:c r="D41" s="54" t="str">
        <x:v>按需</x:v>
      </x:c>
      <x:c r="E41" s="54" t="str"/>
    </x:row>
    <x:row r="42" ht="27" customHeight="1">
      <x:c r="A42" s="54" t="str">
        <x:v>skills/ai-hardware-forecasting/references/forecast-sop.md</x:v>
      </x:c>
      <x:c r="B42" s="54" t="str">
        <x:v>Reference</x:v>
      </x:c>
      <x:c r="C42" s="54" t="str">
        <x:v>按需</x:v>
      </x:c>
      <x:c r="D42" s="54" t="str">
        <x:v>按需</x:v>
      </x:c>
      <x:c r="E42" s="54" t="str"/>
    </x:row>
    <x:row r="43" ht="27" customHeight="1">
      <x:c r="A43" s="54" t="str">
        <x:v>skills/ai-hardware-forecasting/references/governance.md</x:v>
      </x:c>
      <x:c r="B43" s="54" t="str">
        <x:v>Reference</x:v>
      </x:c>
      <x:c r="C43" s="54" t="str">
        <x:v>按需</x:v>
      </x:c>
      <x:c r="D43" s="54" t="str">
        <x:v>按需</x:v>
      </x:c>
      <x:c r="E43" s="54" t="str"/>
    </x:row>
    <x:row r="44" ht="27" customHeight="1">
      <x:c r="A44" s="54" t="str">
        <x:v>skills/ai-hardware-forecasting/references/operating-archetypes.md</x:v>
      </x:c>
      <x:c r="B44" s="54" t="str">
        <x:v>Reference</x:v>
      </x:c>
      <x:c r="C44" s="54" t="str">
        <x:v>按需</x:v>
      </x:c>
      <x:c r="D44" s="54" t="str">
        <x:v>按需</x:v>
      </x:c>
      <x:c r="E44" s="54" t="str"/>
    </x:row>
    <x:row r="45" ht="27" customHeight="1">
      <x:c r="A45" s="54" t="str">
        <x:v>skills/ai-hardware-forecasting/references/output-contracts.md</x:v>
      </x:c>
      <x:c r="B45" s="54" t="str">
        <x:v>Reference</x:v>
      </x:c>
      <x:c r="C45" s="54" t="str">
        <x:v>按需</x:v>
      </x:c>
      <x:c r="D45" s="54" t="str">
        <x:v>按需</x:v>
      </x:c>
      <x:c r="E45" s="54" t="str"/>
    </x:row>
    <x:row r="46" ht="27" customHeight="1">
      <x:c r="A46" s="54" t="str">
        <x:v>skills/ai-hardware-forecasting/references/schemas.md</x:v>
      </x:c>
      <x:c r="B46" s="54" t="str">
        <x:v>Reference</x:v>
      </x:c>
      <x:c r="C46" s="54" t="str">
        <x:v>按需</x:v>
      </x:c>
      <x:c r="D46" s="54" t="str">
        <x:v>按需</x:v>
      </x:c>
      <x:c r="E46" s="54" t="str"/>
    </x:row>
    <x:row r="47" ht="27" customHeight="1">
      <x:c r="A47" s="54" t="str">
        <x:v>skills/ai-hardware-forecasting/references/sector-playbooks/advanced-packaging.md</x:v>
      </x:c>
      <x:c r="B47" s="54" t="str">
        <x:v>Reference</x:v>
      </x:c>
      <x:c r="C47" s="54" t="str">
        <x:v>按需</x:v>
      </x:c>
      <x:c r="D47" s="54" t="str">
        <x:v>按需</x:v>
      </x:c>
      <x:c r="E47" s="54" t="str"/>
    </x:row>
    <x:row r="48" ht="27" customHeight="1">
      <x:c r="A48" s="54" t="str">
        <x:v>skills/ai-hardware-forecasting/references/sector-playbooks/compute-platform.md</x:v>
      </x:c>
      <x:c r="B48" s="54" t="str">
        <x:v>Reference</x:v>
      </x:c>
      <x:c r="C48" s="54" t="str">
        <x:v>按需</x:v>
      </x:c>
      <x:c r="D48" s="54" t="str">
        <x:v>按需</x:v>
      </x:c>
      <x:c r="E48" s="54" t="str"/>
    </x:row>
    <x:row r="49" ht="27" customHeight="1">
      <x:c r="A49" s="54" t="str">
        <x:v>skills/ai-hardware-forecasting/references/sector-playbooks/ma-perimeter.md</x:v>
      </x:c>
      <x:c r="B49" s="54" t="str">
        <x:v>Reference</x:v>
      </x:c>
      <x:c r="C49" s="54" t="str">
        <x:v>按需</x:v>
      </x:c>
      <x:c r="D49" s="54" t="str">
        <x:v>按需</x:v>
      </x:c>
      <x:c r="E49" s="54" t="str"/>
    </x:row>
    <x:row r="50" ht="27" customHeight="1">
      <x:c r="A50" s="54" t="str">
        <x:v>skills/ai-hardware-forecasting/references/sector-playbooks/materials-optics.md</x:v>
      </x:c>
      <x:c r="B50" s="54" t="str">
        <x:v>Reference</x:v>
      </x:c>
      <x:c r="C50" s="54" t="str">
        <x:v>按需</x:v>
      </x:c>
      <x:c r="D50" s="54" t="str">
        <x:v>按需</x:v>
      </x:c>
      <x:c r="E50" s="54" t="str"/>
    </x:row>
    <x:row r="51" ht="27" customHeight="1">
      <x:c r="A51" s="54" t="str">
        <x:v>skills/ai-hardware-forecasting/references/sector-playbooks/memory-storage.md</x:v>
      </x:c>
      <x:c r="B51" s="54" t="str">
        <x:v>Reference</x:v>
      </x:c>
      <x:c r="C51" s="54" t="str">
        <x:v>按需</x:v>
      </x:c>
      <x:c r="D51" s="54" t="str">
        <x:v>按需</x:v>
      </x:c>
      <x:c r="E51" s="54" t="str"/>
    </x:row>
    <x:row r="52" ht="27" customHeight="1">
      <x:c r="A52" s="54" t="str">
        <x:v>skills/ai-hardware-forecasting/references/sector-playbooks/networking-servers.md</x:v>
      </x:c>
      <x:c r="B52" s="54" t="str">
        <x:v>Reference</x:v>
      </x:c>
      <x:c r="C52" s="54" t="str">
        <x:v>按需</x:v>
      </x:c>
      <x:c r="D52" s="54" t="str">
        <x:v>按需</x:v>
      </x:c>
      <x:c r="E52" s="54" t="str"/>
    </x:row>
    <x:row r="53" ht="27" customHeight="1">
      <x:c r="A53" s="54" t="str">
        <x:v>skills/ai-hardware-forecasting/references/sector-playbooks/power-cooling.md</x:v>
      </x:c>
      <x:c r="B53" s="54" t="str">
        <x:v>Reference</x:v>
      </x:c>
      <x:c r="C53" s="54" t="str">
        <x:v>按需</x:v>
      </x:c>
      <x:c r="D53" s="54" t="str">
        <x:v>按需</x:v>
      </x:c>
      <x:c r="E53" s="54" t="str"/>
    </x:row>
    <x:row r="54" ht="27" customHeight="1">
      <x:c r="A54" s="54" t="str">
        <x:v>skills/ai-hardware-forecasting/references/sector-playbooks/wafer-fab-equipment.md</x:v>
      </x:c>
      <x:c r="B54" s="54" t="str">
        <x:v>Reference</x:v>
      </x:c>
      <x:c r="C54" s="54" t="str">
        <x:v>按需</x:v>
      </x:c>
      <x:c r="D54" s="54" t="str">
        <x:v>按需</x:v>
      </x:c>
      <x:c r="E54" s="54" t="str"/>
    </x:row>
    <x:row r="55" ht="27" customHeight="1">
      <x:c r="A55" s="54" t="str">
        <x:v>skills/ai-hardware-forecasting/references/skill-compatibility.md</x:v>
      </x:c>
      <x:c r="B55" s="54" t="str">
        <x:v>Reference</x:v>
      </x:c>
      <x:c r="C55" s="54" t="str">
        <x:v>按需</x:v>
      </x:c>
      <x:c r="D55" s="54" t="str">
        <x:v>按需</x:v>
      </x:c>
      <x:c r="E55" s="54" t="str"/>
    </x:row>
    <x:row r="56" ht="27" customHeight="1">
      <x:c r="A56" s="54" t="str">
        <x:v>skills/ai-hardware-forecasting/references/source-sop.md</x:v>
      </x:c>
      <x:c r="B56" s="54" t="str">
        <x:v>Reference</x:v>
      </x:c>
      <x:c r="C56" s="54" t="str">
        <x:v>按需</x:v>
      </x:c>
      <x:c r="D56" s="54" t="str">
        <x:v>按需</x:v>
      </x:c>
      <x:c r="E56" s="54" t="str"/>
    </x:row>
    <x:row r="57" ht="27" customHeight="1">
      <x:c r="A57" s="54" t="str">
        <x:v>skills/ai-hardware-forecasting/references/validated-benchmarks.md</x:v>
      </x:c>
      <x:c r="B57" s="54" t="str">
        <x:v>Reference</x:v>
      </x:c>
      <x:c r="C57" s="54" t="str">
        <x:v>按需</x:v>
      </x:c>
      <x:c r="D57" s="54" t="str">
        <x:v>按需</x:v>
      </x:c>
      <x:c r="E57" s="54" t="str"/>
    </x:row>
    <x:row r="58" ht="27" customHeight="1">
      <x:c r="A58" s="54" t="str">
        <x:v>skills/ai-hardware-forecasting/scripts/freeze_snapshot.py</x:v>
      </x:c>
      <x:c r="B58" s="54" t="str">
        <x:v>Script</x:v>
      </x:c>
      <x:c r="C58" s="54" t="str">
        <x:v>可执行</x:v>
      </x:c>
      <x:c r="D58" s="54" t="str">
        <x:v>可执行</x:v>
      </x:c>
      <x:c r="E58" s="54" t="str"/>
    </x:row>
    <x:row r="59" ht="27" customHeight="1">
      <x:c r="A59" s="54" t="str">
        <x:v>skills/ai-hardware-forecasting/scripts/package_self_test.py</x:v>
      </x:c>
      <x:c r="B59" s="54" t="str">
        <x:v>Script</x:v>
      </x:c>
      <x:c r="C59" s="54" t="str">
        <x:v>可执行</x:v>
      </x:c>
      <x:c r="D59" s="54" t="str">
        <x:v>可执行</x:v>
      </x:c>
      <x:c r="E59" s="54" t="str"/>
    </x:row>
    <x:row r="60" ht="27" customHeight="1">
      <x:c r="A60" s="54" t="str">
        <x:v>skills/ai-hardware-forecasting/scripts/regression_check.py</x:v>
      </x:c>
      <x:c r="B60" s="54" t="str">
        <x:v>Script</x:v>
      </x:c>
      <x:c r="C60" s="54" t="str">
        <x:v>可执行</x:v>
      </x:c>
      <x:c r="D60" s="54" t="str">
        <x:v>可执行</x:v>
      </x:c>
      <x:c r="E60" s="54" t="str"/>
    </x:row>
    <x:row r="61" ht="27" customHeight="1">
      <x:c r="A61" s="54" t="str">
        <x:v>skills/ai-hardware-forecasting/scripts/run_backtest.py</x:v>
      </x:c>
      <x:c r="B61" s="54" t="str">
        <x:v>Script</x:v>
      </x:c>
      <x:c r="C61" s="54" t="str">
        <x:v>可执行</x:v>
      </x:c>
      <x:c r="D61" s="54" t="str">
        <x:v>可执行</x:v>
      </x:c>
      <x:c r="E61" s="54" t="str"/>
    </x:row>
    <x:row r="62" ht="27" customHeight="1">
      <x:c r="A62" s="54" t="str">
        <x:v>skills/ai-hardware-forecasting/scripts/scaffold_case.py</x:v>
      </x:c>
      <x:c r="B62" s="54" t="str">
        <x:v>Script</x:v>
      </x:c>
      <x:c r="C62" s="54" t="str">
        <x:v>可执行</x:v>
      </x:c>
      <x:c r="D62" s="54" t="str">
        <x:v>可执行</x:v>
      </x:c>
      <x:c r="E62" s="54" t="str"/>
    </x:row>
    <x:row r="63" ht="27" customHeight="1">
      <x:c r="A63" s="54" t="str">
        <x:v>skills/ai-hardware-forecasting/scripts/validate_case.py</x:v>
      </x:c>
      <x:c r="B63" s="54" t="str">
        <x:v>Script</x:v>
      </x:c>
      <x:c r="C63" s="54" t="str">
        <x:v>可执行</x:v>
      </x:c>
      <x:c r="D63" s="54" t="str">
        <x:v>可执行</x:v>
      </x:c>
      <x:c r="E63" s="54" t="str"/>
    </x:row>
    <x:row r="64" ht="27" customHeight="1">
      <x:c r="A64" s="54" t="str">
        <x:v>skills/ai-hardware-forecasting/tests/test_backtest.py</x:v>
      </x:c>
      <x:c r="B64" s="54" t="str">
        <x:v>Test</x:v>
      </x:c>
      <x:c r="C64" s="54" t="str">
        <x:v>可执行</x:v>
      </x:c>
      <x:c r="D64" s="54" t="str">
        <x:v>可执行</x:v>
      </x:c>
      <x:c r="E64" s="54" t="str"/>
    </x:row>
    <x:row r="65" ht="27" customHeight="1">
      <x:c r="A65" s="54" t="str">
        <x:v>skills/ai-hardware-forecasting/tests/test_regression.py</x:v>
      </x:c>
      <x:c r="B65" s="54" t="str">
        <x:v>Test</x:v>
      </x:c>
      <x:c r="C65" s="54" t="str">
        <x:v>可执行</x:v>
      </x:c>
      <x:c r="D65" s="54" t="str">
        <x:v>可执行</x:v>
      </x:c>
      <x:c r="E65" s="54" t="str"/>
    </x:row>
    <x:row r="66" ht="27" customHeight="1">
      <x:c r="A66" s="54" t="str">
        <x:v>skills/ai-hardware-forecasting/tests/test_schema.py</x:v>
      </x:c>
      <x:c r="B66" s="54" t="str">
        <x:v>Test</x:v>
      </x:c>
      <x:c r="C66" s="54" t="str">
        <x:v>可执行</x:v>
      </x:c>
      <x:c r="D66" s="54" t="str">
        <x:v>可执行</x:v>
      </x:c>
      <x:c r="E66" s="54" t="str"/>
    </x:row>
    <x:row r="67" ht="27" customHeight="1">
      <x:c r="A67" s="54" t="str">
        <x:v>skills/ai-hardware-forecasting/tests/test_skill_shape.py</x:v>
      </x:c>
      <x:c r="B67" s="54" t="str">
        <x:v>Test</x:v>
      </x:c>
      <x:c r="C67" s="54" t="str">
        <x:v>可执行</x:v>
      </x:c>
      <x:c r="D67" s="54" t="str">
        <x:v>可执行</x:v>
      </x:c>
      <x:c r="E67" s="5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3" hidden="0" customWidth="1"/>
    <x:col min="4" max="4" width="36" hidden="0" customWidth="1"/>
    <x:col min="5" max="5" width="55" hidden="0" customWidth="1"/>
    <x:col min="6" max="6" width="29" hidden="0" customWidth="1"/>
    <x:col min="7" max="7" width="30" hidden="0" customWidth="1"/>
    <x:col min="8" max="8" width="38" hidden="0" customWidth="1"/>
    <x:col min="9" max="9" width="16" hidden="0" customWidth="1"/>
    <x:col min="10" max="10" width="14" hidden="0" customWidth="1"/>
  </x:cols>
  <x:sheetData>
    <x:row r="1" ht="28" customHeight="1">
      <x:c r="A1" s="4" t="str">
        <x:v>新增样本证据台账</x:v>
      </x:c>
      <x:c r="B1" s="4" t="str">
        <x:v>新增样本证据台账</x:v>
      </x:c>
      <x:c r="C1" s="4" t="str">
        <x:v>新增样本证据台账</x:v>
      </x:c>
      <x:c r="D1" s="4" t="str">
        <x:v>新增样本证据台账</x:v>
      </x:c>
      <x:c r="E1" s="4" t="str">
        <x:v>新增样本证据台账</x:v>
      </x:c>
      <x:c r="F1" s="4" t="str">
        <x:v>新增样本证据台账</x:v>
      </x:c>
      <x:c r="G1" s="4" t="str">
        <x:v>新增样本证据台账</x:v>
      </x:c>
      <x:c r="H1" s="4" t="str">
        <x:v>新增样本证据台账</x:v>
      </x:c>
      <x:c r="I1" s="4" t="str">
        <x:v>新增样本证据台账</x:v>
      </x:c>
      <x:c r="J1" s="4" t="str">
        <x:v>新增样本证据台账</x:v>
      </x:c>
    </x:row>
    <x:row r="2" ht="35" customHeight="1">
      <x:c r="A2" s="11" t="str">
        <x:v>报告保存官方来源ID和使用限制；Skill包内benchmark记录每个案例的证据集合。</x:v>
      </x:c>
      <x:c r="B2" s="11" t="str">
        <x:v>报告保存官方来源ID和使用限制；Skill包内benchmark记录每个案例的证据集合。</x:v>
      </x:c>
      <x:c r="C2" s="11" t="str">
        <x:v>报告保存官方来源ID和使用限制；Skill包内benchmark记录每个案例的证据集合。</x:v>
      </x:c>
      <x:c r="D2" s="11" t="str">
        <x:v>报告保存官方来源ID和使用限制；Skill包内benchmark记录每个案例的证据集合。</x:v>
      </x:c>
      <x:c r="E2" s="11" t="str">
        <x:v>报告保存官方来源ID和使用限制；Skill包内benchmark记录每个案例的证据集合。</x:v>
      </x:c>
      <x:c r="F2" s="11" t="str">
        <x:v>报告保存官方来源ID和使用限制；Skill包内benchmark记录每个案例的证据集合。</x:v>
      </x:c>
      <x:c r="G2" s="11" t="str">
        <x:v>报告保存官方来源ID和使用限制；Skill包内benchmark记录每个案例的证据集合。</x:v>
      </x:c>
      <x:c r="H2" s="11" t="str">
        <x:v>报告保存官方来源ID和使用限制；Skill包内benchmark记录每个案例的证据集合。</x:v>
      </x:c>
      <x:c r="I2" s="11" t="str">
        <x:v>报告保存官方来源ID和使用限制；Skill包内benchmark记录每个案例的证据集合。</x:v>
      </x:c>
      <x:c r="J2" s="11" t="str">
        <x:v>报告保存官方来源ID和使用限制；Skill包内benchmark记录每个案例的证据集合。</x:v>
      </x:c>
    </x:row>
    <x:row r="4" ht="28" customHeight="1">
      <x:c r="A4" s="26" t="str">
        <x:v>案例</x:v>
      </x:c>
      <x:c r="B4" s="26" t="str">
        <x:v>公司</x:v>
      </x:c>
      <x:c r="C4" s="26" t="str">
        <x:v>截面</x:v>
      </x:c>
      <x:c r="D4" s="26" t="str">
        <x:v>原型</x:v>
      </x:c>
      <x:c r="E4" s="26" t="str">
        <x:v>来源ID</x:v>
      </x:c>
      <x:c r="F4" s="26" t="str">
        <x:v>事实用途</x:v>
      </x:c>
      <x:c r="G4" s="26" t="str">
        <x:v>假设用途</x:v>
      </x:c>
      <x:c r="H4" s="26" t="str">
        <x:v>主要限制</x:v>
      </x:c>
      <x:c r="I4" s="26" t="str">
        <x:v>证据等级</x:v>
      </x:c>
      <x:c r="J4" s="26" t="str">
        <x:v>状态</x:v>
      </x:c>
    </x:row>
    <x:row r="5" ht="55" customHeight="1">
      <x:c r="A5" s="54" t="str">
        <x:v>AMAT@FY2019</x:v>
      </x:c>
      <x:c r="B5" s="54" t="str">
        <x:v>Applied Materials</x:v>
      </x:c>
      <x:c r="C5" s="54" t="str">
        <x:v>FY2019</x:v>
      </x:c>
      <x:c r="D5" s="54" t="str">
        <x:v>diversified-wafer-fab-equipment</x:v>
      </x:c>
      <x:c r="E5" s="54" t="str">
        <x:v>AMAT_FY2019_10K;AMAT_FY2021_10K;AMAT_FY2024_10K</x:v>
      </x:c>
      <x:c r="F5" s="54" t="str">
        <x:v>基期财务和后续Actual</x:v>
      </x:c>
      <x:c r="G5" s="54" t="str">
        <x:v>点时点路径、原型和区间</x:v>
      </x:c>
      <x:c r="H5" s="54" t="str">
        <x:v>回顾性模拟仍有事后偏差</x:v>
      </x:c>
      <x:c r="I5" s="54" t="str">
        <x:v>E0/E1＋E3</x:v>
      </x:c>
      <x:c r="J5" s="54" t="str">
        <x:v>已纳入</x:v>
      </x:c>
    </x:row>
    <x:row r="6" ht="55" customHeight="1">
      <x:c r="A6" s="54" t="str">
        <x:v>KLA@FY2019</x:v>
      </x:c>
      <x:c r="B6" s="54" t="str">
        <x:v>KLA</x:v>
      </x:c>
      <x:c r="C6" s="54" t="str">
        <x:v>FY2019</x:v>
      </x:c>
      <x:c r="D6" s="54" t="str">
        <x:v>process-control-content-intensity</x:v>
      </x:c>
      <x:c r="E6" s="54" t="str">
        <x:v>KLA_FY2019_10K;KLA_FY2021_10K;KLA_FY2024_10K</x:v>
      </x:c>
      <x:c r="F6" s="54" t="str">
        <x:v>基期财务和后续Actual</x:v>
      </x:c>
      <x:c r="G6" s="54" t="str">
        <x:v>点时点路径、原型和区间</x:v>
      </x:c>
      <x:c r="H6" s="54" t="str">
        <x:v>回顾性模拟仍有事后偏差</x:v>
      </x:c>
      <x:c r="I6" s="54" t="str">
        <x:v>E0/E1＋E3</x:v>
      </x:c>
      <x:c r="J6" s="54" t="str">
        <x:v>已纳入</x:v>
      </x:c>
    </x:row>
    <x:row r="7" ht="55" customHeight="1">
      <x:c r="A7" s="54" t="str">
        <x:v>AVGO@FY2019</x:v>
      </x:c>
      <x:c r="B7" s="54" t="str">
        <x:v>Broadcom</x:v>
      </x:c>
      <x:c r="C7" s="54" t="str">
        <x:v>FY2019</x:v>
      </x:c>
      <x:c r="D7" s="54" t="str">
        <x:v>hybrid-semiconductor-software-ma</x:v>
      </x:c>
      <x:c r="E7" s="54" t="str">
        <x:v>AVGO_FY2019_10K;AVGO_FY2021_10K;AVGO_FY2022_10K</x:v>
      </x:c>
      <x:c r="F7" s="54" t="str">
        <x:v>基期财务和后续Actual</x:v>
      </x:c>
      <x:c r="G7" s="54" t="str">
        <x:v>点时点路径、原型和区间</x:v>
      </x:c>
      <x:c r="H7" s="54" t="str">
        <x:v>回顾性模拟仍有事后偏差</x:v>
      </x:c>
      <x:c r="I7" s="54" t="str">
        <x:v>E0/E1＋E3</x:v>
      </x:c>
      <x:c r="J7" s="54" t="str">
        <x:v>已纳入</x:v>
      </x:c>
    </x:row>
    <x:row r="8" ht="55" customHeight="1">
      <x:c r="A8" s="54" t="str">
        <x:v>VRT@FY2020</x:v>
      </x:c>
      <x:c r="B8" s="54" t="str">
        <x:v>Vertiv</x:v>
      </x:c>
      <x:c r="C8" s="54" t="str">
        <x:v>FY2020</x:v>
      </x:c>
      <x:c r="D8" s="54" t="str">
        <x:v>power-cooling-project-backlog</x:v>
      </x:c>
      <x:c r="E8" s="54" t="str">
        <x:v>VRT_FY2020_10K;VRT_FY2023_10K</x:v>
      </x:c>
      <x:c r="F8" s="54" t="str">
        <x:v>基期财务和后续Actual</x:v>
      </x:c>
      <x:c r="G8" s="54" t="str">
        <x:v>点时点路径、原型和区间</x:v>
      </x:c>
      <x:c r="H8" s="54" t="str">
        <x:v>回顾性模拟仍有事后偏差</x:v>
      </x:c>
      <x:c r="I8" s="54" t="str">
        <x:v>E0/E1＋E3</x:v>
      </x:c>
      <x:c r="J8" s="54" t="str">
        <x:v>已纳入</x:v>
      </x:c>
    </x:row>
    <x:row r="9" ht="55" customHeight="1">
      <x:c r="A9" s="54" t="str">
        <x:v>COHR@FY2021</x:v>
      </x:c>
      <x:c r="B9" s="54" t="str">
        <x:v>II-VI / Coherent</x:v>
      </x:c>
      <x:c r="C9" s="54" t="str">
        <x:v>FY2021</x:v>
      </x:c>
      <x:c r="D9" s="54" t="str">
        <x:v>optics-materials-ma-integration</x:v>
      </x:c>
      <x:c r="E9" s="54" t="str">
        <x:v>IIVI_FY2021_10K;IIVI_FY2022_10K;COHR_FY2023_10K;COHR_FY2024_10K</x:v>
      </x:c>
      <x:c r="F9" s="54" t="str">
        <x:v>基期财务和后续Actual</x:v>
      </x:c>
      <x:c r="G9" s="54" t="str">
        <x:v>点时点路径、原型和区间</x:v>
      </x:c>
      <x:c r="H9" s="54" t="str">
        <x:v>回顾性模拟仍有事后偏差</x:v>
      </x:c>
      <x:c r="I9" s="54" t="str">
        <x:v>E0/E1＋E3</x:v>
      </x:c>
      <x:c r="J9" s="54" t="str">
        <x:v>已纳入</x:v>
      </x:c>
    </x:row>
    <x:row r="10" ht="55" customHeight="1">
      <x:c r="A10" s="54" t="str">
        <x:v>ANET@FY2020</x:v>
      </x:c>
      <x:c r="B10" s="54" t="str">
        <x:v>Arista Networks</x:v>
      </x:c>
      <x:c r="C10" s="54" t="str">
        <x:v>FY2020</x:v>
      </x:c>
      <x:c r="D10" s="54" t="str">
        <x:v>networking-customer-concentration</x:v>
      </x:c>
      <x:c r="E10" s="54" t="str">
        <x:v>ANET_FY2020_RESULTS;ANET_FY2022_10K;ANET_FY2024_10K</x:v>
      </x:c>
      <x:c r="F10" s="54" t="str">
        <x:v>基期财务和后续Actual</x:v>
      </x:c>
      <x:c r="G10" s="54" t="str">
        <x:v>点时点路径、原型和区间</x:v>
      </x:c>
      <x:c r="H10" s="54" t="str">
        <x:v>回顾性模拟仍有事后偏差</x:v>
      </x:c>
      <x:c r="I10" s="54" t="str">
        <x:v>E0/E1＋E3</x:v>
      </x:c>
      <x:c r="J10" s="54" t="str">
        <x:v>已纳入</x:v>
      </x:c>
    </x:row>
    <x:row r="11" ht="55" customHeight="1">
      <x:c r="A11" s="54" t="str">
        <x:v>SMCI@FY2020</x:v>
      </x:c>
      <x:c r="B11" s="54" t="str">
        <x:v>Super Micro Computer</x:v>
      </x:c>
      <x:c r="C11" s="54" t="str">
        <x:v>FY2020</x:v>
      </x:c>
      <x:c r="D11" s="54" t="str">
        <x:v>server-rack-bom-pass-through</x:v>
      </x:c>
      <x:c r="E11" s="54" t="str">
        <x:v>SMCI_FY2022_10K;SMCI_FY2023_10K;SMCI_FY2024_10K</x:v>
      </x:c>
      <x:c r="F11" s="54" t="str">
        <x:v>基期财务和后续Actual</x:v>
      </x:c>
      <x:c r="G11" s="54" t="str">
        <x:v>点时点路径、原型和区间</x:v>
      </x:c>
      <x:c r="H11" s="54" t="str">
        <x:v>回顾性模拟仍有事后偏差</x:v>
      </x:c>
      <x:c r="I11" s="54" t="str">
        <x:v>E0/E1＋E3</x:v>
      </x:c>
      <x:c r="J11" s="54" t="str">
        <x:v>已纳入</x:v>
      </x:c>
    </x:row>
    <x:row r="12" ht="55" customHeight="1">
      <x:c r="A12" s="54" t="str">
        <x:v>AMKR@FY2020</x:v>
      </x:c>
      <x:c r="B12" s="54" t="str">
        <x:v>Amkor Technology</x:v>
      </x:c>
      <x:c r="C12" s="54" t="str">
        <x:v>FY2020</x:v>
      </x:c>
      <x:c r="D12" s="54" t="str">
        <x:v>osat-advanced-packaging-utilization</x:v>
      </x:c>
      <x:c r="E12" s="54" t="str">
        <x:v>AMKR_FY2020_10K;AMKR_FY2021_10K;AMKR_FY2024_10K</x:v>
      </x:c>
      <x:c r="F12" s="54" t="str">
        <x:v>基期财务和后续Actual</x:v>
      </x:c>
      <x:c r="G12" s="54" t="str">
        <x:v>点时点路径、原型和区间</x:v>
      </x:c>
      <x:c r="H12" s="54" t="str">
        <x:v>回顾性模拟仍有事后偏差</x:v>
      </x:c>
      <x:c r="I12" s="54" t="str">
        <x:v>E0/E1＋E3</x:v>
      </x:c>
      <x:c r="J12" s="54" t="str">
        <x:v>已纳入</x:v>
      </x:c>
    </x:row>
    <x:row r="13" ht="55" customHeight="1">
      <x:c r="A13" s="54" t="str">
        <x:v>ENTG@FY2021</x:v>
      </x:c>
      <x:c r="B13" s="54" t="str">
        <x:v>Entegris</x:v>
      </x:c>
      <x:c r="C13" s="54" t="str">
        <x:v>FY2021</x:v>
      </x:c>
      <x:c r="D13" s="54" t="str">
        <x:v>semiconductor-materials-content-ma</x:v>
      </x:c>
      <x:c r="E13" s="54" t="str">
        <x:v>ENTG_FY2021_10K;ENTG_FY2024_AR</x:v>
      </x:c>
      <x:c r="F13" s="54" t="str">
        <x:v>基期财务和后续Actual</x:v>
      </x:c>
      <x:c r="G13" s="54" t="str">
        <x:v>点时点路径、原型和区间</x:v>
      </x:c>
      <x:c r="H13" s="54" t="str">
        <x:v>回顾性模拟仍有事后偏差</x:v>
      </x:c>
      <x:c r="I13" s="54" t="str">
        <x:v>E0/E1＋E3</x:v>
      </x:c>
      <x:c r="J13" s="54" t="str">
        <x:v>已纳入</x:v>
      </x:c>
    </x:row>
    <x:row r="14" ht="55" customHeight="1">
      <x:c r="A14" s="54" t="str">
        <x:v>AMD@FY2020</x:v>
      </x:c>
      <x:c r="B14" s="54" t="str">
        <x:v>AMD</x:v>
      </x:c>
      <x:c r="C14" s="54" t="str">
        <x:v>FY2020</x:v>
      </x:c>
      <x:c r="D14" s="54" t="str">
        <x:v>compute-platform-segments-ma</x:v>
      </x:c>
      <x:c r="E14" s="54" t="str">
        <x:v>AMD_FY2020_10K;AMD_FY2021_10K;AMD_FY2022_10K;AMD_FY2023_10K</x:v>
      </x:c>
      <x:c r="F14" s="54" t="str">
        <x:v>基期财务和后续Actual</x:v>
      </x:c>
      <x:c r="G14" s="54" t="str">
        <x:v>点时点路径、原型和区间</x:v>
      </x:c>
      <x:c r="H14" s="54" t="str">
        <x:v>回顾性模拟仍有事后偏差</x:v>
      </x:c>
      <x:c r="I14" s="54" t="str">
        <x:v>E0/E1＋E3</x:v>
      </x:c>
      <x:c r="J14" s="54" t="str">
        <x:v>已纳入</x:v>
      </x:c>
    </x:row>
  </x:sheetData>
  <x:mergeCells>
    <x:mergeCell ref="A1:J1"/>
    <x:mergeCell ref="A2:J2"/>
  </x:mergeCells>
  <x:pageMargins left="0.7" right="0.7" top="0.75" bottom="0.75" header="0.3" footer="0.3"/>
</x:worksheet>
</file>