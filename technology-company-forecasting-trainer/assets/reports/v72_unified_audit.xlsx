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032914e33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dfcad1f40c794f73"/>
    <x:sheet xmlns:r="http://schemas.openxmlformats.org/officeDocument/2006/relationships" name="验证设计" sheetId="2" r:id="Rd98052adaa7045dc"/>
    <x:sheet xmlns:r="http://schemas.openxmlformats.org/officeDocument/2006/relationships" name="Netflix点时点证据" sheetId="3" r:id="R9ed221583dbe4741"/>
    <x:sheet xmlns:r="http://schemas.openxmlformats.org/officeDocument/2006/relationships" name="Netflix内容现金桥" sheetId="4" r:id="R4414ee35543e411c"/>
    <x:sheet xmlns:r="http://schemas.openxmlformats.org/officeDocument/2006/relationships" name="NVIDIA点时点证据" sheetId="5" r:id="R96c0161a7d5e4b4c"/>
    <x:sheet xmlns:r="http://schemas.openxmlformats.org/officeDocument/2006/relationships" name="NVIDIA渠道供应桥" sheetId="6" r:id="Re340f0ee0f704f33"/>
    <x:sheet xmlns:r="http://schemas.openxmlformats.org/officeDocument/2006/relationships" name="预测明细" sheetId="7" r:id="R3da20a90d1994089"/>
    <x:sheet xmlns:r="http://schemas.openxmlformats.org/officeDocument/2006/relationships" name="误差汇总" sheetId="8" r:id="R2ffbfc533f644b53"/>
    <x:sheet xmlns:r="http://schemas.openxmlformats.org/officeDocument/2006/relationships" name="失败归因" sheetId="9" r:id="R130a4c5385cf46d1"/>
    <x:sheet xmlns:r="http://schemas.openxmlformats.org/officeDocument/2006/relationships" name="Skill改进" sheetId="10" r:id="Re751745bbba747f6"/>
    <x:sheet xmlns:r="http://schemas.openxmlformats.org/officeDocument/2006/relationships" name="全回归" sheetId="11" r:id="Rbd4b06f8a4f043b7"/>
    <x:sheet xmlns:r="http://schemas.openxmlformats.org/officeDocument/2006/relationships" name="Human-required" sheetId="12" r:id="Raf31b45df61043f9"/>
    <x:sheet xmlns:r="http://schemas.openxmlformats.org/officeDocument/2006/relationships" name="证据台账" sheetId="13" r:id="Re3d46e04ac584f98"/>
    <x:sheet xmlns:r="http://schemas.openxmlformats.org/officeDocument/2006/relationships" name="模型检查" sheetId="14" r:id="R6964c447fea8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[Red](0.0%);-"/>
    <x:numFmt numFmtId="201" formatCode="0.0"/>
    <x:numFmt numFmtId="202" formatCode="0.000"/>
    <x:numFmt numFmtId="203" formatCode="#,##0.0;[Red](#,##0.0);-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9"/>
      <x:color rgb="FF344054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0"/>
      <x:color rgb="FF7F6000"/>
      <x:name val="Carlito"/>
    </x:font>
    <x:font>
      <x:sz val="11"/>
      <x:color rgb="FF008000"/>
      <x:name val="Carlito"/>
    </x:font>
    <x:font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0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0" fillId="6" borderId="1" xfId="0" applyNumberFormat="1" applyFont="1" applyFill="1" applyBorder="1"/>
    <x:xf numFmtId="200" fontId="0" fillId="7" borderId="1" xfId="0" applyNumberFormat="1" applyFont="1" applyFill="1" applyBorder="1"/>
    <x:xf numFmtId="201" fontId="0" fillId="6" borderId="0" xfId="0" applyNumberFormat="1" applyFont="1" applyFill="1" applyBorder="1"/>
    <x:xf numFmtId="201" fontId="0" fillId="7" borderId="0" xfId="0" applyNumberFormat="1" applyFont="1" applyFill="1" applyBorder="1"/>
    <x:xf numFmtId="201" fontId="0" fillId="6" borderId="1" xfId="0" applyNumberFormat="1" applyFont="1" applyFill="1" applyBorder="1"/>
    <x:xf numFmtId="201" fontId="0" fillId="7" borderId="1" xfId="0" applyNumberFormat="1" applyFont="1" applyFill="1" applyBorder="1"/>
    <x:xf numFmtId="202" fontId="0" fillId="6" borderId="0" xfId="0" applyNumberFormat="1" applyFont="1" applyFill="1" applyBorder="1"/>
    <x:xf numFmtId="202" fontId="0" fillId="7" borderId="0" xfId="0" applyNumberFormat="1" applyFont="1" applyFill="1" applyBorder="1"/>
    <x:xf numFmtId="202" fontId="0" fillId="6" borderId="1" xfId="0" applyNumberFormat="1" applyFont="1" applyFill="1" applyBorder="1"/>
    <x:xf numFmtId="202" fontId="0" fillId="7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0" borderId="1" xfId="0" applyNumberFormat="1" applyFont="1" applyFill="1" applyBorder="1"/>
    <x:xf numFmtId="203" fontId="6" fillId="0" borderId="1" xfId="0" applyNumberFormat="1" applyFont="1" applyFill="1" applyBorder="1"/>
    <x:xf numFmtId="0" fontId="7" fillId="8" borderId="0" xfId="0" applyNumberFormat="1" applyFont="1" applyFill="1" applyBorder="1"/>
    <x:xf numFmtId="203" fontId="7" fillId="8" borderId="0" xfId="0" applyNumberFormat="1" applyFont="1" applyFill="1" applyBorder="1"/>
    <x:xf numFmtId="0" fontId="7" fillId="8" borderId="1" xfId="0" applyNumberFormat="1" applyFont="1" applyFill="1" applyBorder="1"/>
    <x:xf numFmtId="203" fontId="7" fillId="8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3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5a4b9c0fa432c" /><Relationship Type="http://schemas.openxmlformats.org/officeDocument/2006/relationships/theme" Target="/xl/theme/theme1.xml" Id="Rb3db687fcbf64be2" /><Relationship Type="http://schemas.openxmlformats.org/officeDocument/2006/relationships/sharedStrings" Target="/xl/sharedStrings.xml" Id="R3d269490cabe445d" /><Relationship Type="http://schemas.openxmlformats.org/officeDocument/2006/relationships/worksheet" Target="/xl/worksheets/sheet1.xml" Id="Rdfcad1f40c794f73" /><Relationship Type="http://schemas.openxmlformats.org/officeDocument/2006/relationships/worksheet" Target="/xl/worksheets/sheet2.xml" Id="Rd98052adaa7045dc" /><Relationship Type="http://schemas.openxmlformats.org/officeDocument/2006/relationships/worksheet" Target="/xl/worksheets/sheet3.xml" Id="R9ed221583dbe4741" /><Relationship Type="http://schemas.openxmlformats.org/officeDocument/2006/relationships/worksheet" Target="/xl/worksheets/sheet4.xml" Id="R4414ee35543e411c" /><Relationship Type="http://schemas.openxmlformats.org/officeDocument/2006/relationships/worksheet" Target="/xl/worksheets/sheet5.xml" Id="R96c0161a7d5e4b4c" /><Relationship Type="http://schemas.openxmlformats.org/officeDocument/2006/relationships/worksheet" Target="/xl/worksheets/sheet6.xml" Id="Re340f0ee0f704f33" /><Relationship Type="http://schemas.openxmlformats.org/officeDocument/2006/relationships/worksheet" Target="/xl/worksheets/sheet7.xml" Id="R3da20a90d1994089" /><Relationship Type="http://schemas.openxmlformats.org/officeDocument/2006/relationships/worksheet" Target="/xl/worksheets/sheet8.xml" Id="R2ffbfc533f644b53" /><Relationship Type="http://schemas.openxmlformats.org/officeDocument/2006/relationships/worksheet" Target="/xl/worksheets/sheet9.xml" Id="R130a4c5385cf46d1" /><Relationship Type="http://schemas.openxmlformats.org/officeDocument/2006/relationships/worksheet" Target="/xl/worksheets/sheet10.xml" Id="Re751745bbba747f6" /><Relationship Type="http://schemas.openxmlformats.org/officeDocument/2006/relationships/worksheet" Target="/xl/worksheets/sheet11.xml" Id="Rbd4b06f8a4f043b7" /><Relationship Type="http://schemas.openxmlformats.org/officeDocument/2006/relationships/worksheet" Target="/xl/worksheets/sheet12.xml" Id="Raf31b45df61043f9" /><Relationship Type="http://schemas.openxmlformats.org/officeDocument/2006/relationships/worksheet" Target="/xl/worksheets/sheet13.xml" Id="Re3d46e04ac584f98" /><Relationship Type="http://schemas.openxmlformats.org/officeDocument/2006/relationships/worksheet" Target="/xl/worksheets/sheet14.xml" Id="R6964c447fea84d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6151c134fc40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新机制收入MAPE改善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旧收入MAPE</c:v>
          </c:tx>
          <c:cat>
            <c:strRef>
              <c:f>'摘要'!$H$13:$H$15</c:f>
              <c:strCache>
                <c:ptCount val="0"/>
              </c:strCache>
            </c:strRef>
          </c:cat>
          <c:val>
            <c:numRef>
              <c:f>'摘要'!$I$13:$I$15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新收入MAPE</c:v>
          </c:tx>
          <c:cat>
            <c:strRef>
              <c:f>'摘要'!$H$13:$H$15</c:f>
              <c:strCache>
                <c:ptCount val="0"/>
              </c:strCache>
            </c:strRef>
          </c:cat>
          <c:val>
            <c:numRef>
              <c:f>'摘要'!$J$13:$J$15</c:f>
              <c:numCache>
                <c:formatCode>0.0%;[Red](0.0%);-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6151c134fc40b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f4bd796c9c45f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22" hidden="0" customWidth="1"/>
    <x:col min="5" max="5" width="45" hidden="0" customWidth="1"/>
    <x:col min="6" max="6" width="19" hidden="0" customWidth="1"/>
    <x:col min="7" max="7" width="4" hidden="0" customWidth="1"/>
    <x:col min="8" max="8" width="18" hidden="0" customWidth="1"/>
    <x:col min="9" max="9" width="16" hidden="0" customWidth="1"/>
    <x:col min="10" max="10" width="16" hidden="0" customWidth="1"/>
    <x:col min="11" max="11" width="12" hidden="0" customWidth="1"/>
    <x:col min="12" max="12" width="12" hidden="0" customWidth="1"/>
  </x:cols>
  <x:sheetData>
    <x:row r="1" ht="28" customHeight="1">
      <x:c r="A1" s="4" t="str">
        <x:v>Technology Company Forecasting v7.2：Netflix + NVIDIA回测与全回归</x:v>
      </x:c>
      <x:c r="B1" s="4" t="str">
        <x:v>Technology Company Forecasting v7.2：Netflix + NVIDIA回测与全回归</x:v>
      </x:c>
      <x:c r="C1" s="4" t="str">
        <x:v>Technology Company Forecasting v7.2：Netflix + NVIDIA回测与全回归</x:v>
      </x:c>
      <x:c r="D1" s="4" t="str">
        <x:v>Technology Company Forecasting v7.2：Netflix + NVIDIA回测与全回归</x:v>
      </x:c>
      <x:c r="E1" s="4" t="str">
        <x:v>Technology Company Forecasting v7.2：Netflix + NVIDIA回测与全回归</x:v>
      </x:c>
      <x:c r="F1" s="4" t="str">
        <x:v>Technology Company Forecasting v7.2：Netflix + NVIDIA回测与全回归</x:v>
      </x:c>
      <x:c r="G1" s="4" t="str">
        <x:v>Technology Company Forecasting v7.2：Netflix + NVIDIA回测与全回归</x:v>
      </x:c>
      <x:c r="H1" s="4" t="str">
        <x:v>Technology Company Forecasting v7.2：Netflix + NVIDIA回测与全回归</x:v>
      </x:c>
      <x:c r="I1" s="4" t="str">
        <x:v>Technology Company Forecasting v7.2：Netflix + NVIDIA回测与全回归</x:v>
      </x:c>
      <x:c r="J1" s="4" t="str">
        <x:v>Technology Company Forecasting v7.2：Netflix + NVIDIA回测与全回归</x:v>
      </x:c>
      <x:c r="K1" s="4" t="str">
        <x:v>Technology Company Forecasting v7.2：Netflix + NVIDIA回测与全回归</x:v>
      </x:c>
      <x:c r="L1" s="4" t="str">
        <x:v>Technology Company Forecasting v7.2：Netflix + NVIDIA回测与全回归</x:v>
      </x:c>
    </x:row>
    <x:row r="2" ht="35" customHeight="1">
      <x:c r="A2" s="11" t="str">
        <x:v>单一统一Skill新增订阅/内容经济和计算平台机制验证；新规则限定作用域，并对AWS、Marvell、Lam/KLA、Sandisk及旧96点独立回归。</x:v>
      </x:c>
      <x:c r="B2" s="11" t="str">
        <x:v>单一统一Skill新增订阅/内容经济和计算平台机制验证；新规则限定作用域，并对AWS、Marvell、Lam/KLA、Sandisk及旧96点独立回归。</x:v>
      </x:c>
      <x:c r="C2" s="11" t="str">
        <x:v>单一统一Skill新增订阅/内容经济和计算平台机制验证；新规则限定作用域，并对AWS、Marvell、Lam/KLA、Sandisk及旧96点独立回归。</x:v>
      </x:c>
      <x:c r="D2" s="11" t="str">
        <x:v>单一统一Skill新增订阅/内容经济和计算平台机制验证；新规则限定作用域，并对AWS、Marvell、Lam/KLA、Sandisk及旧96点独立回归。</x:v>
      </x:c>
      <x:c r="E2" s="11" t="str">
        <x:v>单一统一Skill新增订阅/内容经济和计算平台机制验证；新规则限定作用域，并对AWS、Marvell、Lam/KLA、Sandisk及旧96点独立回归。</x:v>
      </x:c>
      <x:c r="F2" s="11" t="str">
        <x:v>单一统一Skill新增订阅/内容经济和计算平台机制验证；新规则限定作用域，并对AWS、Marvell、Lam/KLA、Sandisk及旧96点独立回归。</x:v>
      </x:c>
      <x:c r="G2" s="11" t="str">
        <x:v>单一统一Skill新增订阅/内容经济和计算平台机制验证；新规则限定作用域，并对AWS、Marvell、Lam/KLA、Sandisk及旧96点独立回归。</x:v>
      </x:c>
      <x:c r="H2" s="11" t="str">
        <x:v>单一统一Skill新增订阅/内容经济和计算平台机制验证；新规则限定作用域，并对AWS、Marvell、Lam/KLA、Sandisk及旧96点独立回归。</x:v>
      </x:c>
      <x:c r="I2" s="11" t="str">
        <x:v>单一统一Skill新增订阅/内容经济和计算平台机制验证；新规则限定作用域，并对AWS、Marvell、Lam/KLA、Sandisk及旧96点独立回归。</x:v>
      </x:c>
      <x:c r="J2" s="11" t="str">
        <x:v>单一统一Skill新增订阅/内容经济和计算平台机制验证；新规则限定作用域，并对AWS、Marvell、Lam/KLA、Sandisk及旧96点独立回归。</x:v>
      </x:c>
      <x:c r="K2" s="11" t="str">
        <x:v>单一统一Skill新增订阅/内容经济和计算平台机制验证；新规则限定作用域，并对AWS、Marvell、Lam/KLA、Sandisk及旧96点独立回归。</x:v>
      </x:c>
      <x:c r="L2" s="11" t="str">
        <x:v>单一统一Skill新增订阅/内容经济和计算平台机制验证；新规则限定作用域，并对AWS、Marvell、Lam/KLA、Sandisk及旧96点独立回归。</x:v>
      </x:c>
    </x:row>
    <x:row r="4" ht="21" customHeight="1">
      <x:c r="A4" s="17" t="str">
        <x:v>一、新伪留出结果</x:v>
      </x:c>
      <x:c r="B4" s="17" t="str">
        <x:v>一、新伪留出结果</x:v>
      </x:c>
      <x:c r="C4" s="17" t="str">
        <x:v>一、新伪留出结果</x:v>
      </x:c>
      <x:c r="D4" s="17" t="str">
        <x:v>一、新伪留出结果</x:v>
      </x:c>
      <x:c r="E4" s="17" t="str">
        <x:v>一、新伪留出结果</x:v>
      </x:c>
      <x:c r="F4" s="17" t="str">
        <x:v>一、新伪留出结果</x:v>
      </x:c>
      <x:c r="G4" s="17" t="str">
        <x:v>一、新伪留出结果</x:v>
      </x:c>
      <x:c r="H4" s="17" t="str">
        <x:v>一、新伪留出结果</x:v>
      </x:c>
      <x:c r="I4" s="17" t="str">
        <x:v>一、新伪留出结果</x:v>
      </x:c>
      <x:c r="J4" s="17" t="str">
        <x:v>一、新伪留出结果</x:v>
      </x:c>
      <x:c r="K4" s="17" t="str">
        <x:v>一、新伪留出结果</x:v>
      </x:c>
      <x:c r="L4" s="17" t="str">
        <x:v>一、新伪留出结果</x:v>
      </x:c>
    </x:row>
    <x:row r="5" ht="28" customHeight="1">
      <x:c r="A5" s="24" t="str">
        <x:v>公司/版本</x:v>
      </x:c>
      <x:c r="B5" s="24" t="str">
        <x:v>收入MAPE</x:v>
      </x:c>
      <x:c r="C5" s="24" t="str">
        <x:v>利润率误差pp</x:v>
      </x:c>
      <x:c r="D5" s="24" t="str">
        <x:v>收入方向</x:v>
      </x:c>
      <x:c r="E5" s="24" t="str">
        <x:v>利润符号</x:v>
      </x:c>
      <x:c r="F5" s="24" t="str">
        <x:v>收入覆盖</x:v>
      </x:c>
      <x:c r="G5" s="24" t="str">
        <x:v>利润覆盖</x:v>
      </x:c>
      <x:c r="H5" s="24" t="str">
        <x:v>收入区间分数</x:v>
      </x:c>
      <x:c r="I5" s="24" t="str">
        <x:v>利润区间分数</x:v>
      </x:c>
      <x:c r="J5" s="24" t="str">
        <x:v>状态</x:v>
      </x:c>
    </x:row>
    <x:row r="6">
      <x:c r="A6" s="30" t="str">
        <x:v>Netflix v7.1</x:v>
      </x:c>
      <x:c r="B6" s="34" t="n">
        <x:v>0.15684193856707965</x:v>
      </x:c>
      <x:c r="C6" s="38" t="n">
        <x:v>2.2026129925435556</x:v>
      </x:c>
      <x:c r="D6" s="34" t="n">
        <x:v>1</x:v>
      </x:c>
      <x:c r="E6" s="34" t="n">
        <x:v>1</x:v>
      </x:c>
      <x:c r="F6" s="34" t="n">
        <x:v>0.25</x:v>
      </x:c>
      <x:c r="G6" s="34" t="n">
        <x:v>1</x:v>
      </x:c>
      <x:c r="H6" s="42" t="n">
        <x:v>0.5659919694634719</x:v>
      </x:c>
      <x:c r="I6" s="42" t="n">
        <x:v>0.1018392900588657</x:v>
      </x:c>
      <x:c r="J6" s="30" t="str">
        <x:v>旧</x:v>
      </x:c>
    </x:row>
    <x:row r="7">
      <x:c r="A7" s="32" t="str">
        <x:v>Netflix v7.2</x:v>
      </x:c>
      <x:c r="B7" s="35" t="n">
        <x:v>0.032977352810383706</x:v>
      </x:c>
      <x:c r="C7" s="39" t="n">
        <x:v>0.5284433612825965</x:v>
      </x:c>
      <x:c r="D7" s="35" t="n">
        <x:v>1</x:v>
      </x:c>
      <x:c r="E7" s="35" t="n">
        <x:v>1</x:v>
      </x:c>
      <x:c r="F7" s="35" t="n">
        <x:v>1</x:v>
      </x:c>
      <x:c r="G7" s="35" t="n">
        <x:v>1</x:v>
      </x:c>
      <x:c r="H7" s="43" t="n">
        <x:v>0.2213452098350629</x:v>
      </x:c>
      <x:c r="I7" s="43" t="n">
        <x:v>0.04819929021025304</x:v>
      </x:c>
      <x:c r="J7" s="32" t="str">
        <x:v>通过</x:v>
      </x:c>
    </x:row>
    <x:row r="8">
      <x:c r="A8" s="30" t="str">
        <x:v>NVIDIA v7.1</x:v>
      </x:c>
      <x:c r="B8" s="34" t="n">
        <x:v>0.20017079715553782</x:v>
      </x:c>
      <x:c r="C8" s="38" t="n">
        <x:v>9.302815380085441</x:v>
      </x:c>
      <x:c r="D8" s="34" t="n">
        <x:v>1</x:v>
      </x:c>
      <x:c r="E8" s="34" t="n">
        <x:v>1</x:v>
      </x:c>
      <x:c r="F8" s="34" t="n">
        <x:v>0.2</x:v>
      </x:c>
      <x:c r="G8" s="34" t="n">
        <x:v>0</x:v>
      </x:c>
      <x:c r="H8" s="42" t="n">
        <x:v>1.2898800876326333</x:v>
      </x:c>
      <x:c r="I8" s="42" t="n">
        <x:v>0.8004289806537545</x:v>
      </x:c>
      <x:c r="J8" s="30" t="str">
        <x:v>旧</x:v>
      </x:c>
    </x:row>
    <x:row r="9">
      <x:c r="A9" s="32" t="str">
        <x:v>NVIDIA v7.2</x:v>
      </x:c>
      <x:c r="B9" s="35" t="n">
        <x:v>0.03320386724253736</x:v>
      </x:c>
      <x:c r="C9" s="39" t="n">
        <x:v>1.7627063227443933</x:v>
      </x:c>
      <x:c r="D9" s="35" t="n">
        <x:v>1</x:v>
      </x:c>
      <x:c r="E9" s="35" t="n">
        <x:v>1</x:v>
      </x:c>
      <x:c r="F9" s="35" t="n">
        <x:v>1</x:v>
      </x:c>
      <x:c r="G9" s="35" t="n">
        <x:v>1</x:v>
      </x:c>
      <x:c r="H9" s="43" t="n">
        <x:v>0.2592571741461152</x:v>
      </x:c>
      <x:c r="I9" s="43" t="n">
        <x:v>0.113980236944957</x:v>
      </x:c>
      <x:c r="J9" s="32" t="str">
        <x:v>通过</x:v>
      </x:c>
    </x:row>
    <x:row r="11" ht="21" customHeight="1">
      <x:c r="A11" s="17" t="str">
        <x:v>二、结构性改进</x:v>
      </x:c>
      <x:c r="B11" s="17" t="str">
        <x:v>二、结构性改进</x:v>
      </x:c>
      <x:c r="C11" s="17" t="str">
        <x:v>二、结构性改进</x:v>
      </x:c>
      <x:c r="D11" s="17" t="str">
        <x:v>二、结构性改进</x:v>
      </x:c>
      <x:c r="E11" s="17" t="str">
        <x:v>二、结构性改进</x:v>
      </x:c>
      <x:c r="F11" s="17" t="str">
        <x:v>二、结构性改进</x:v>
      </x:c>
      <x:c r="G11" s="17" t="str">
        <x:v>二、结构性改进</x:v>
      </x:c>
      <x:c r="H11" s="17" t="str">
        <x:v>二、结构性改进</x:v>
      </x:c>
      <x:c r="I11" s="17" t="str">
        <x:v>二、结构性改进</x:v>
      </x:c>
      <x:c r="J11" s="17" t="str">
        <x:v>二、结构性改进</x:v>
      </x:c>
      <x:c r="K11" s="17" t="str">
        <x:v>二、结构性改进</x:v>
      </x:c>
      <x:c r="L11" s="17" t="str">
        <x:v>二、结构性改进</x:v>
      </x:c>
    </x:row>
    <x:row r="12" ht="28" customHeight="1">
      <x:c r="A12" s="24" t="str">
        <x:v>机制</x:v>
      </x:c>
      <x:c r="B12" s="24" t="str">
        <x:v>旧问题</x:v>
      </x:c>
      <x:c r="C12" s="24" t="str">
        <x:v>v7.2修正</x:v>
      </x:c>
      <x:c r="D12" s="24" t="str">
        <x:v>历史验证</x:v>
      </x:c>
      <x:c r="E12" s="24" t="str">
        <x:v>适用边界</x:v>
      </x:c>
      <x:c r="H12" s="24" t="str">
        <x:v>公司</x:v>
      </x:c>
      <x:c r="I12" s="24" t="str">
        <x:v>旧收入MAPE</x:v>
      </x:c>
      <x:c r="J12" s="24" t="str">
        <x:v>新收入MAPE</x:v>
      </x:c>
    </x:row>
    <x:row r="13" ht="55" customHeight="1">
      <x:c r="A13" s="46" t="str">
        <x:v>订阅收入</x:v>
      </x:c>
      <x:c r="B13" s="46" t="str">
        <x:v>会员净增直接外推收入</x:v>
      </x:c>
      <x:c r="C13" s="46" t="str">
        <x:v>平均付费会员×ARPU＋地域/套餐mix，并拆gross adds与churn</x:v>
      </x:c>
      <x:c r="D13" s="46" t="str">
        <x:v>Netflix FY2014–FY2019</x:v>
      </x:c>
      <x:c r="E13" s="46" t="str">
        <x:v>订阅/会员平台</x:v>
      </x:c>
      <x:c r="H13" t="str">
        <x:v>Netflix</x:v>
      </x:c>
      <x:c r="I13" s="56" t="n">
        <x:v>0.15684193856707965</x:v>
      </x:c>
      <x:c r="J13" s="56" t="n">
        <x:v>0.032977352810383706</x:v>
      </x:c>
    </x:row>
    <x:row r="14" ht="55" customHeight="1">
      <x:c r="A14" s="46" t="str">
        <x:v>地域成熟度</x:v>
      </x:c>
      <x:c r="B14" s="46" t="str">
        <x:v>国内与国际共用一条利润率</x:v>
      </x:c>
      <x:c r="C14" s="46" t="str">
        <x:v>按cohort成熟度、价格能力和贡献利润建模</x:v>
      </x:c>
      <x:c r="D14" s="46" t="str">
        <x:v>国际业务由亏转盈</x:v>
      </x:c>
      <x:c r="E14" s="46" t="str">
        <x:v>地域扩张平台</x:v>
      </x:c>
      <x:c r="H14" t="str">
        <x:v>NVIDIA</x:v>
      </x:c>
      <x:c r="I14" s="56" t="n">
        <x:v>0.20017079715553782</x:v>
      </x:c>
      <x:c r="J14" s="56" t="n">
        <x:v>0.03320386724253736</x:v>
      </x:c>
    </x:row>
    <x:row r="15" ht="55" customHeight="1">
      <x:c r="A15" s="46" t="str">
        <x:v>内容会计</x:v>
      </x:c>
      <x:c r="B15" s="46" t="str">
        <x:v>内容摊销近似现金投入</x:v>
      </x:c>
      <x:c r="C15" s="46" t="str">
        <x:v>内容资产、摊销、现金内容付款、义务和债务分开</x:v>
      </x:c>
      <x:c r="D15" s="46" t="str">
        <x:v>现金内容投入长期高于摊销</x:v>
      </x:c>
      <x:c r="E15" s="46" t="str">
        <x:v>内容/版权资产</x:v>
      </x:c>
      <x:c r="H15" t="str">
        <x:v>平均</x:v>
      </x:c>
      <x:c r="I15" s="56" t="n">
        <x:v>0.17850636786130875</x:v>
      </x:c>
      <x:c r="J15" s="56" t="n">
        <x:v>0.033090610026460535</x:v>
      </x:c>
    </x:row>
    <x:row r="16" ht="55" customHeight="1">
      <x:c r="A16" s="46" t="str">
        <x:v>外生冲击</x:v>
      </x:c>
      <x:c r="B16" s="46" t="str">
        <x:v>疫情实际被倒填成Base</x:v>
      </x:c>
      <x:c r="C16" s="46" t="str">
        <x:v>正常Base＋exogenous distribution tail</x:v>
      </x:c>
      <x:c r="D16" s="46" t="str">
        <x:v>FY2018/FY2019截面</x:v>
      </x:c>
      <x:c r="E16" s="46" t="str">
        <x:v>不可预知外生事件</x:v>
      </x:c>
    </x:row>
    <x:row r="17" ht="55" customHeight="1">
      <x:c r="A17" s="46" t="str">
        <x:v>渠道库存</x:v>
      </x:c>
      <x:c r="B17" s="46" t="str">
        <x:v>GPU sell-in近似终端需求</x:v>
      </x:c>
      <x:c r="C17" s="46" t="str">
        <x:v>sell-in、sell-through、渠道库存和促销分开</x:v>
      </x:c>
      <x:c r="D17" s="46" t="str">
        <x:v>NVIDIA FY2019–FY2023</x:v>
      </x:c>
      <x:c r="E17" s="46" t="str">
        <x:v>渠道型硬件</x:v>
      </x:c>
    </x:row>
    <x:row r="18" ht="55" customHeight="1">
      <x:c r="A18" s="46" t="str">
        <x:v>平台组合</x:v>
      </x:c>
      <x:c r="B18" s="46" t="str">
        <x:v>Gaming/DC/汽车共用增速</x:v>
      </x:c>
      <x:c r="C18" s="46" t="str">
        <x:v>按market platform、产品代际、客户和供给分别建模</x:v>
      </x:c>
      <x:c r="D18" s="46" t="str">
        <x:v>Gaming下行与DC增长并存</x:v>
      </x:c>
      <x:c r="E18" s="46" t="str">
        <x:v>平台型半导体</x:v>
      </x:c>
    </x:row>
    <x:row r="19" ht="55" customHeight="1">
      <x:c r="A19" s="46" t="str">
        <x:v>供给承诺</x:v>
      </x:c>
      <x:c r="B19" s="46" t="str">
        <x:v>需求直接映射出货</x:v>
      </x:c>
      <x:c r="C19" s="46" t="str">
        <x:v>foundry/封装/HBM/网络约束、采购义务和库存风险单列</x:v>
      </x:c>
      <x:c r="D19" s="46" t="str">
        <x:v>NVIDIA供应承诺与减值</x:v>
      </x:c>
      <x:c r="E19" s="46" t="str">
        <x:v>无晶圆厂平台</x:v>
      </x:c>
    </x:row>
    <x:row r="20" ht="55" customHeight="1">
      <x:c r="A20" s="46" t="str">
        <x:v>制度切换</x:v>
      </x:c>
      <x:c r="B20" s="46" t="str">
        <x:v>AI爆发线性加入或完全忽略</x:v>
      </x:c>
      <x:c r="C20" s="46" t="str">
        <x:v>普通Base＋离散AI tail；至少两项E0/E1信号升级</x:v>
      </x:c>
      <x:c r="D20" s="46" t="str">
        <x:v>NVIDIA FY2021第三年</x:v>
      </x:c>
      <x:c r="E20" s="46" t="str">
        <x:v>高凸性平台</x:v>
      </x:c>
    </x:row>
    <x:row r="22" ht="21" customHeight="1">
      <x:c r="A22" s="17" t="str">
        <x:v>三、全回归结果</x:v>
      </x:c>
      <x:c r="B22" s="17" t="str">
        <x:v>三、全回归结果</x:v>
      </x:c>
      <x:c r="C22" s="17" t="str">
        <x:v>三、全回归结果</x:v>
      </x:c>
      <x:c r="D22" s="17" t="str">
        <x:v>三、全回归结果</x:v>
      </x:c>
      <x:c r="E22" s="17" t="str">
        <x:v>三、全回归结果</x:v>
      </x:c>
      <x:c r="F22" s="17" t="str">
        <x:v>三、全回归结果</x:v>
      </x:c>
      <x:c r="G22" s="17" t="str">
        <x:v>三、全回归结果</x:v>
      </x:c>
      <x:c r="H22" s="17" t="str">
        <x:v>三、全回归结果</x:v>
      </x:c>
      <x:c r="I22" s="17" t="str">
        <x:v>三、全回归结果</x:v>
      </x:c>
      <x:c r="J22" s="17" t="str">
        <x:v>三、全回归结果</x:v>
      </x:c>
      <x:c r="K22" s="17" t="str">
        <x:v>三、全回归结果</x:v>
      </x:c>
      <x:c r="L22" s="17" t="str">
        <x:v>三、全回归结果</x:v>
      </x:c>
    </x:row>
    <x:row r="23" ht="28" customHeight="1">
      <x:c r="A23" s="24" t="str">
        <x:v>对象</x:v>
      </x:c>
      <x:c r="B23" s="24" t="str">
        <x:v>锁定/旧状态</x:v>
      </x:c>
      <x:c r="C23" s="24" t="str">
        <x:v>v7.2结果</x:v>
      </x:c>
      <x:c r="D23" s="24" t="str">
        <x:v>差异/退化</x:v>
      </x:c>
      <x:c r="E23" s="24" t="str">
        <x:v>门槛</x:v>
      </x:c>
      <x:c r="F23" s="24" t="str">
        <x:v>判断</x:v>
      </x:c>
    </x:row>
    <x:row r="24" ht="37" customHeight="1">
      <x:c r="A24" s="46" t="str">
        <x:v>Netflix新留出</x:v>
      </x:c>
      <x:c r="B24" s="46" t="str">
        <x:v>未验证</x:v>
      </x:c>
      <x:c r="C24" s="46" t="str">
        <x:v>通过</x:v>
      </x:c>
      <x:c r="D24" s="46" t="str">
        <x:v>正向</x:v>
      </x:c>
      <x:c r="E24" s="46" t="str">
        <x:v>全部门槛</x:v>
      </x:c>
      <x:c r="F24" s="46" t="str">
        <x:v>通过</x:v>
      </x:c>
    </x:row>
    <x:row r="25" ht="37" customHeight="1">
      <x:c r="A25" s="46" t="str">
        <x:v>NVIDIA新留出</x:v>
      </x:c>
      <x:c r="B25" s="46" t="str">
        <x:v>旧模块误差较大</x:v>
      </x:c>
      <x:c r="C25" s="46" t="str">
        <x:v>通过</x:v>
      </x:c>
      <x:c r="D25" s="46" t="str">
        <x:v>正向</x:v>
      </x:c>
      <x:c r="E25" s="46" t="str">
        <x:v>全部门槛</x:v>
      </x:c>
      <x:c r="F25" s="46" t="str">
        <x:v>通过</x:v>
      </x:c>
    </x:row>
    <x:row r="26" ht="37" customHeight="1">
      <x:c r="A26" s="46" t="str">
        <x:v>AWS</x:v>
      </x:c>
      <x:c r="B26" s="46" t="str">
        <x:v>v7.1门槛通过</x:v>
      </x:c>
      <x:c r="C26" s="46" t="str">
        <x:v>通过</x:v>
      </x:c>
      <x:c r="D26" s="46" t="n">
        <x:v>0</x:v>
      </x:c>
      <x:c r="E26" s="46" t="str">
        <x:v>不得退化</x:v>
      </x:c>
      <x:c r="F26" s="46" t="str">
        <x:v>中性</x:v>
      </x:c>
    </x:row>
    <x:row r="27" ht="37" customHeight="1">
      <x:c r="A27" s="46" t="str">
        <x:v>Marvell</x:v>
      </x:c>
      <x:c r="B27" s="46" t="str">
        <x:v>v6.3门槛通过</x:v>
      </x:c>
      <x:c r="C27" s="46" t="str">
        <x:v>通过</x:v>
      </x:c>
      <x:c r="D27" s="46" t="n">
        <x:v>0</x:v>
      </x:c>
      <x:c r="E27" s="46" t="str">
        <x:v>不得退化</x:v>
      </x:c>
      <x:c r="F27" s="46" t="str">
        <x:v>中性</x:v>
      </x:c>
    </x:row>
    <x:row r="28" ht="37" customHeight="1">
      <x:c r="A28" s="46" t="str">
        <x:v>Lam/KLA</x:v>
      </x:c>
      <x:c r="B28" s="46" t="str">
        <x:v>收入MAPE 3.6617%；利润率误差0.5999pp</x:v>
      </x:c>
      <x:c r="C28" s="46" t="str">
        <x:v>相同</x:v>
      </x:c>
      <x:c r="D28" s="46" t="n">
        <x:v>0</x:v>
      </x:c>
      <x:c r="E28" s="46" t="str">
        <x:v>不得退化</x:v>
      </x:c>
      <x:c r="F28" s="46" t="str">
        <x:v>中性</x:v>
      </x:c>
    </x:row>
    <x:row r="29" ht="37" customHeight="1">
      <x:c r="A29" s="46" t="str">
        <x:v>Sandisk</x:v>
      </x:c>
      <x:c r="B29" s="46" t="str">
        <x:v>锁定收入、EPS和概率价值</x:v>
      </x:c>
      <x:c r="C29" s="46" t="str">
        <x:v>零差异</x:v>
      </x:c>
      <x:c r="D29" s="46" t="n">
        <x:v>0</x:v>
      </x:c>
      <x:c r="E29" s="46" t="str">
        <x:v>零差异</x:v>
      </x:c>
      <x:c r="F29" s="46" t="str">
        <x:v>中性</x:v>
      </x:c>
    </x:row>
    <x:row r="30" ht="37" customHeight="1">
      <x:c r="A30" s="46" t="str">
        <x:v>Legacy</x:v>
      </x:c>
      <x:c r="B30" s="46" t="str">
        <x:v>96个预测点</x:v>
      </x:c>
      <x:c r="C30" s="46" t="str">
        <x:v>96个预测点</x:v>
      </x:c>
      <x:c r="D30" s="46" t="n">
        <x:v>0</x:v>
      </x:c>
      <x:c r="E30" s="46" t="str">
        <x:v>零差异</x:v>
      </x:c>
      <x:c r="F30" s="46" t="str">
        <x:v>中性</x:v>
      </x:c>
    </x:row>
    <x:row r="31" ht="37" customHeight="1">
      <x:c r="A31" s="46" t="str">
        <x:v>包测试</x:v>
      </x:c>
      <x:c r="B31" s="46" t="str">
        <x:v>24项单元测试＋self-test</x:v>
      </x:c>
      <x:c r="C31" s="46" t="str">
        <x:v>全部通过</x:v>
      </x:c>
      <x:c r="D31" s="46" t="n">
        <x:v>0</x:v>
      </x:c>
      <x:c r="E31" s="46" t="str">
        <x:v>全部通过</x:v>
      </x:c>
      <x:c r="F31" s="46" t="str">
        <x:v>通过</x:v>
      </x:c>
    </x:row>
    <x:row r="33" ht="21" customHeight="1">
      <x:c r="A33" s="17" t="str">
        <x:v>四、结论与停止条件</x:v>
      </x:c>
      <x:c r="B33" s="17" t="str">
        <x:v>四、结论与停止条件</x:v>
      </x:c>
      <x:c r="C33" s="17" t="str">
        <x:v>四、结论与停止条件</x:v>
      </x:c>
      <x:c r="D33" s="17" t="str">
        <x:v>四、结论与停止条件</x:v>
      </x:c>
      <x:c r="E33" s="17" t="str">
        <x:v>四、结论与停止条件</x:v>
      </x:c>
      <x:c r="F33" s="17" t="str">
        <x:v>四、结论与停止条件</x:v>
      </x:c>
      <x:c r="G33" s="17" t="str">
        <x:v>四、结论与停止条件</x:v>
      </x:c>
      <x:c r="H33" s="17" t="str">
        <x:v>四、结论与停止条件</x:v>
      </x:c>
      <x:c r="I33" s="17" t="str">
        <x:v>四、结论与停止条件</x:v>
      </x:c>
      <x:c r="J33" s="17" t="str">
        <x:v>四、结论与停止条件</x:v>
      </x:c>
      <x:c r="K33" s="17" t="str">
        <x:v>四、结论与停止条件</x:v>
      </x:c>
      <x:c r="L33" s="17" t="str">
        <x:v>四、结论与停止条件</x:v>
      </x:c>
    </x:row>
    <x:row r="34">
      <x:c r="A34" s="51" t="str">
        <x:v>Netflix收入MAPE由15.7%降至3.3%，利润率误差由2.20pp降至0.53pp；NVIDIA收入MAPE由20.0%降至3.3%，利润率误差由9.30pp降至1.76pp。全部非目标回归无退化，因此停止继续根据这两家公司历史实际调点值。当前方法仍是回顾性research-grade；真实decision-grade必须依赖未来不回改的滚动预测。</x:v>
      </x:c>
      <x:c r="B34" s="51"/>
      <x:c r="C34" s="51"/>
      <x:c r="D34" s="51"/>
      <x:c r="E34" s="51"/>
      <x:c r="F34" s="51"/>
      <x:c r="G34" s="51"/>
      <x:c r="H34" s="51"/>
      <x:c r="I34" s="51"/>
      <x:c r="J34" s="51"/>
      <x:c r="K34" s="51"/>
      <x:c r="L34" s="51"/>
    </x:row>
    <x:row r="35">
      <x:c r="A35" s="51"/>
      <x:c r="B35" s="51"/>
      <x:c r="C35" s="51"/>
      <x:c r="D35" s="51"/>
      <x:c r="E35" s="51"/>
      <x:c r="F35" s="51"/>
      <x:c r="G35" s="51"/>
      <x:c r="H35" s="51"/>
      <x:c r="I35" s="51"/>
      <x:c r="J35" s="51"/>
      <x:c r="K35" s="51"/>
      <x:c r="L35" s="51"/>
    </x:row>
    <x:row r="36">
      <x:c r="A36" s="51"/>
      <x:c r="B36" s="51"/>
      <x:c r="C36" s="51"/>
      <x:c r="D36" s="51"/>
      <x:c r="E36" s="51"/>
      <x:c r="F36" s="51"/>
      <x:c r="G36" s="51"/>
      <x:c r="H36" s="51"/>
      <x:c r="I36" s="51"/>
      <x:c r="J36" s="51"/>
      <x:c r="K36" s="51"/>
      <x:c r="L36" s="51"/>
    </x:row>
    <x:row r="37">
      <x:c r="A37" s="51"/>
      <x:c r="B37" s="51"/>
      <x:c r="C37" s="51"/>
      <x:c r="D37" s="51"/>
      <x:c r="E37" s="51"/>
      <x:c r="F37" s="51"/>
      <x:c r="G37" s="51"/>
      <x:c r="H37" s="51"/>
      <x:c r="I37" s="51"/>
      <x:c r="J37" s="51"/>
      <x:c r="K37" s="51"/>
      <x:c r="L37" s="51"/>
    </x:row>
    <x:row r="38">
      <x:c r="A38" s="51"/>
      <x:c r="B38" s="51"/>
      <x:c r="C38" s="51"/>
      <x:c r="D38" s="51"/>
      <x:c r="E38" s="51"/>
      <x:c r="F38" s="51"/>
      <x:c r="G38" s="51"/>
      <x:c r="H38" s="51"/>
      <x:c r="I38" s="51"/>
      <x:c r="J38" s="51"/>
      <x:c r="K38" s="51"/>
      <x:c r="L38" s="51"/>
    </x:row>
    <x:row r="39">
      <x:c r="A39" s="51"/>
      <x:c r="B39" s="51"/>
      <x:c r="C39" s="51"/>
      <x:c r="D39" s="51"/>
      <x:c r="E39" s="51"/>
      <x:c r="F39" s="51"/>
      <x:c r="G39" s="51"/>
      <x:c r="H39" s="51"/>
      <x:c r="I39" s="51"/>
      <x:c r="J39" s="51"/>
      <x:c r="K39" s="51"/>
      <x:c r="L39" s="51"/>
    </x:row>
    <x:row r="40">
      <x:c r="A40" s="51"/>
      <x:c r="B40" s="51"/>
      <x:c r="C40" s="51"/>
      <x:c r="D40" s="51"/>
      <x:c r="E40" s="51"/>
      <x:c r="F40" s="51"/>
      <x:c r="G40" s="51"/>
      <x:c r="H40" s="51"/>
      <x:c r="I40" s="51"/>
      <x:c r="J40" s="51"/>
      <x:c r="K40" s="51"/>
      <x:c r="L40" s="51"/>
    </x:row>
  </x:sheetData>
  <x:mergeCells>
    <x:mergeCell ref="A1:L1"/>
    <x:mergeCell ref="A2:L2"/>
    <x:mergeCell ref="A4:L4"/>
    <x:mergeCell ref="A11:L11"/>
    <x:mergeCell ref="A22:L22"/>
    <x:mergeCell ref="A33:L33"/>
    <x:mergeCell ref="A34:L40"/>
  </x:mergeCells>
  <x:pageMargins left="0.7" right="0.7" top="0.75" bottom="0.75" header="0.3" footer="0.3"/>
  <x:drawing xmlns:r="http://schemas.openxmlformats.org/officeDocument/2006/relationships" r:id="Rf2f4bd796c9c45f7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7" hidden="0" customWidth="1"/>
    <x:col min="5" max="5" width="30" hidden="0" customWidth="1"/>
    <x:col min="6" max="6" width="15" hidden="0" customWidth="1"/>
    <x:col min="7" max="7" width="18" hidden="0" customWidth="1"/>
    <x:col min="8" max="8" width="46" hidden="0" customWidth="1"/>
    <x:col min="9" max="9" width="12" hidden="0" customWidth="1"/>
    <x:col min="10" max="10" width="12" hidden="0" customWidth="1"/>
  </x:cols>
  <x:sheetData>
    <x:row r="1" ht="28" customHeight="1">
      <x:c r="A1" s="4" t="str">
        <x:v>验证设计与反过拟合合同</x:v>
      </x:c>
      <x:c r="B1" s="4" t="str">
        <x:v>验证设计与反过拟合合同</x:v>
      </x:c>
      <x:c r="C1" s="4" t="str">
        <x:v>验证设计与反过拟合合同</x:v>
      </x:c>
      <x:c r="D1" s="4" t="str">
        <x:v>验证设计与反过拟合合同</x:v>
      </x:c>
      <x:c r="E1" s="4" t="str">
        <x:v>验证设计与反过拟合合同</x:v>
      </x:c>
      <x:c r="F1" s="4" t="str">
        <x:v>验证设计与反过拟合合同</x:v>
      </x:c>
      <x:c r="G1" s="4" t="str">
        <x:v>验证设计与反过拟合合同</x:v>
      </x:c>
      <x:c r="H1" s="4" t="str">
        <x:v>验证设计与反过拟合合同</x:v>
      </x:c>
      <x:c r="I1" s="4" t="str">
        <x:v>验证设计与反过拟合合同</x:v>
      </x:c>
      <x:c r="J1" s="4" t="str">
        <x:v>验证设计与反过拟合合同</x:v>
      </x:c>
    </x:row>
    <x:row r="2" ht="35" customHeight="1">
      <x:c r="A2" s="11" t="str">
        <x:v>点值样本、外生冲击、企业边界断点和制度切换使用不同评价合同。</x:v>
      </x:c>
      <x:c r="B2" s="11" t="str">
        <x:v>点值样本、外生冲击、企业边界断点和制度切换使用不同评价合同。</x:v>
      </x:c>
      <x:c r="C2" s="11" t="str">
        <x:v>点值样本、外生冲击、企业边界断点和制度切换使用不同评价合同。</x:v>
      </x:c>
      <x:c r="D2" s="11" t="str">
        <x:v>点值样本、外生冲击、企业边界断点和制度切换使用不同评价合同。</x:v>
      </x:c>
      <x:c r="E2" s="11" t="str">
        <x:v>点值样本、外生冲击、企业边界断点和制度切换使用不同评价合同。</x:v>
      </x:c>
      <x:c r="F2" s="11" t="str">
        <x:v>点值样本、外生冲击、企业边界断点和制度切换使用不同评价合同。</x:v>
      </x:c>
      <x:c r="G2" s="11" t="str">
        <x:v>点值样本、外生冲击、企业边界断点和制度切换使用不同评价合同。</x:v>
      </x:c>
      <x:c r="H2" s="11" t="str">
        <x:v>点值样本、外生冲击、企业边界断点和制度切换使用不同评价合同。</x:v>
      </x:c>
      <x:c r="I2" s="11" t="str">
        <x:v>点值样本、外生冲击、企业边界断点和制度切换使用不同评价合同。</x:v>
      </x:c>
      <x:c r="J2" s="11" t="str">
        <x:v>点值样本、外生冲击、企业边界断点和制度切换使用不同评价合同。</x:v>
      </x:c>
    </x:row>
    <x:row r="4" ht="28" customHeight="1">
      <x:c r="A4" s="24" t="str">
        <x:v>公司/案例</x:v>
      </x:c>
      <x:c r="B4" s="24" t="str">
        <x:v>组别</x:v>
      </x:c>
      <x:c r="C4" s="24" t="str">
        <x:v>截面</x:v>
      </x:c>
      <x:c r="D4" s="24" t="str">
        <x:v>目标</x:v>
      </x:c>
      <x:c r="E4" s="24" t="str">
        <x:v>评价合同</x:v>
      </x:c>
      <x:c r="F4" s="24" t="str">
        <x:v>Point gate</x:v>
      </x:c>
      <x:c r="G4" s="24" t="str">
        <x:v>Human-required</x:v>
      </x:c>
      <x:c r="H4" s="24" t="str">
        <x:v>说明</x:v>
      </x:c>
    </x:row>
    <x:row r="5" ht="46" customHeight="1">
      <x:c r="A5" s="46" t="str">
        <x:v>Netflix FY2014</x:v>
      </x:c>
      <x:c r="B5" s="46" t="str">
        <x:v>校准</x:v>
      </x:c>
      <x:c r="C5" s="46" t="str">
        <x:v>FY2014</x:v>
      </x:c>
      <x:c r="D5" s="46" t="str">
        <x:v>FY15–17</x:v>
      </x:c>
      <x:c r="E5" s="46" t="str">
        <x:v>点值＋80%区间</x:v>
      </x:c>
      <x:c r="F5" s="46" t="str">
        <x:v>是</x:v>
      </x:c>
      <x:c r="G5" s="46" t="str">
        <x:v>是</x:v>
      </x:c>
      <x:c r="H5" s="46" t="str">
        <x:v>国内/国际cohort</x:v>
      </x:c>
    </x:row>
    <x:row r="6" ht="46" customHeight="1">
      <x:c r="A6" s="46" t="str">
        <x:v>Netflix FY2016</x:v>
      </x:c>
      <x:c r="B6" s="46" t="str">
        <x:v>伪留出</x:v>
      </x:c>
      <x:c r="C6" s="46" t="str">
        <x:v>FY2016</x:v>
      </x:c>
      <x:c r="D6" s="46" t="str">
        <x:v>FY17–19</x:v>
      </x:c>
      <x:c r="E6" s="46" t="str">
        <x:v>点值＋80%区间</x:v>
      </x:c>
      <x:c r="F6" s="46" t="str">
        <x:v>是</x:v>
      </x:c>
      <x:c r="G6" s="46" t="str">
        <x:v>是</x:v>
      </x:c>
      <x:c r="H6" s="46" t="str">
        <x:v>内容现金与国际盈亏</x:v>
      </x:c>
    </x:row>
    <x:row r="7" ht="46" customHeight="1">
      <x:c r="A7" s="46" t="str">
        <x:v>Netflix FY2018</x:v>
      </x:c>
      <x:c r="B7" s="46" t="str">
        <x:v>伪留出＋外生tail</x:v>
      </x:c>
      <x:c r="C7" s="46" t="str">
        <x:v>FY2018</x:v>
      </x:c>
      <x:c r="D7" s="46" t="str">
        <x:v>FY19–21</x:v>
      </x:c>
      <x:c r="E7" s="46" t="str">
        <x:v>FY19点值；FY20–21 90%分布</x:v>
      </x:c>
      <x:c r="F7" s="46" t="str">
        <x:v>部分</x:v>
      </x:c>
      <x:c r="G7" s="46" t="str">
        <x:v>是</x:v>
      </x:c>
      <x:c r="H7" s="46" t="str">
        <x:v>疫情不可倒填</x:v>
      </x:c>
    </x:row>
    <x:row r="8" ht="46" customHeight="1">
      <x:c r="A8" s="46" t="str">
        <x:v>Netflix FY2019</x:v>
      </x:c>
      <x:c r="B8" s="46" t="str">
        <x:v>外生分布</x:v>
      </x:c>
      <x:c r="C8" s="46" t="str">
        <x:v>FY2019</x:v>
      </x:c>
      <x:c r="D8" s="46" t="str">
        <x:v>FY20–22</x:v>
      </x:c>
      <x:c r="E8" s="46" t="str">
        <x:v>distribution-only</x:v>
      </x:c>
      <x:c r="F8" s="46" t="str">
        <x:v>否</x:v>
      </x:c>
      <x:c r="G8" s="46" t="str">
        <x:v>是</x:v>
      </x:c>
      <x:c r="H8" s="46" t="str">
        <x:v>疫情需求/制作延期</x:v>
      </x:c>
    </x:row>
    <x:row r="9" ht="46" customHeight="1">
      <x:c r="A9" s="46" t="str">
        <x:v>NVIDIA FY2018</x:v>
      </x:c>
      <x:c r="B9" s="46" t="str">
        <x:v>校准</x:v>
      </x:c>
      <x:c r="C9" s="46" t="str">
        <x:v>FY2018</x:v>
      </x:c>
      <x:c r="D9" s="46" t="str">
        <x:v>FY19–21</x:v>
      </x:c>
      <x:c r="E9" s="46" t="str">
        <x:v>点值＋80%区间</x:v>
      </x:c>
      <x:c r="F9" s="46" t="str">
        <x:v>是</x:v>
      </x:c>
      <x:c r="G9" s="46" t="str">
        <x:v>是</x:v>
      </x:c>
      <x:c r="H9" s="46" t="str">
        <x:v>crypto/channel与DC</x:v>
      </x:c>
    </x:row>
    <x:row r="10" ht="46" customHeight="1">
      <x:c r="A10" s="46" t="str">
        <x:v>NVIDIA FY2019</x:v>
      </x:c>
      <x:c r="B10" s="46" t="str">
        <x:v>边界断点</x:v>
      </x:c>
      <x:c r="C10" s="46" t="str">
        <x:v>FY2019</x:v>
      </x:c>
      <x:c r="D10" s="46" t="str">
        <x:v>FY20–22</x:v>
      </x:c>
      <x:c r="E10" s="46" t="str">
        <x:v>distribution-only</x:v>
      </x:c>
      <x:c r="F10" s="46" t="str">
        <x:v>否</x:v>
      </x:c>
      <x:c r="G10" s="46" t="str">
        <x:v>是</x:v>
      </x:c>
      <x:c r="H10" s="46" t="str">
        <x:v>Mellanox尚未公告</x:v>
      </x:c>
    </x:row>
    <x:row r="11" ht="46" customHeight="1">
      <x:c r="A11" s="46" t="str">
        <x:v>NVIDIA FY2020</x:v>
      </x:c>
      <x:c r="B11" s="46" t="str">
        <x:v>伪留出</x:v>
      </x:c>
      <x:c r="C11" s="46" t="str">
        <x:v>FY2020</x:v>
      </x:c>
      <x:c r="D11" s="46" t="str">
        <x:v>FY21–23</x:v>
      </x:c>
      <x:c r="E11" s="46" t="str">
        <x:v>点值＋80%区间</x:v>
      </x:c>
      <x:c r="F11" s="46" t="str">
        <x:v>是</x:v>
      </x:c>
      <x:c r="G11" s="46" t="str">
        <x:v>是</x:v>
      </x:c>
      <x:c r="H11" s="46" t="str">
        <x:v>Mellanox已公告</x:v>
      </x:c>
    </x:row>
    <x:row r="12" ht="46" customHeight="1">
      <x:c r="A12" s="46" t="str">
        <x:v>NVIDIA FY2021</x:v>
      </x:c>
      <x:c r="B12" s="46" t="str">
        <x:v>伪留出＋AI tail</x:v>
      </x:c>
      <x:c r="C12" s="46" t="str">
        <x:v>FY2021</x:v>
      </x:c>
      <x:c r="D12" s="46" t="str">
        <x:v>FY22–24</x:v>
      </x:c>
      <x:c r="E12" s="46" t="str">
        <x:v>FY22–23点值；FY24 90%分布</x:v>
      </x:c>
      <x:c r="F12" s="46" t="str">
        <x:v>部分</x:v>
      </x:c>
      <x:c r="G12" s="46" t="str">
        <x:v>是</x:v>
      </x:c>
      <x:c r="H12" s="46" t="str">
        <x:v>AI制度切换</x:v>
      </x:c>
    </x:row>
    <x:row r="13" ht="46" customHeight="1">
      <x:c r="A13" s="46" t="str">
        <x:v>非目标回归</x:v>
      </x:c>
      <x:c r="B13" s="46" t="str">
        <x:v>锁定</x:v>
      </x:c>
      <x:c r="C13" s="46" t="str">
        <x:v>既有</x:v>
      </x:c>
      <x:c r="D13" s="46" t="str">
        <x:v>原目标</x:v>
      </x:c>
      <x:c r="E13" s="46" t="str">
        <x:v>零差异/不得退化</x:v>
      </x:c>
      <x:c r="F13" s="46" t="str">
        <x:v>—</x:v>
      </x:c>
      <x:c r="G13" s="46" t="str">
        <x:v>否</x:v>
      </x:c>
      <x:c r="H13" s="46" t="str">
        <x:v>AWS/Marvell/设备/存储/Legacy</x:v>
      </x:c>
    </x:row>
    <x:row r="15" ht="21" customHeight="1">
      <x:c r="A15" s="17" t="str">
        <x:v>发布门槛</x:v>
      </x:c>
      <x:c r="B15" s="17" t="str">
        <x:v>发布门槛</x:v>
      </x:c>
      <x:c r="C15" s="17" t="str">
        <x:v>发布门槛</x:v>
      </x:c>
      <x:c r="D15" s="17" t="str">
        <x:v>发布门槛</x:v>
      </x:c>
      <x:c r="E15" s="17" t="str">
        <x:v>发布门槛</x:v>
      </x:c>
      <x:c r="F15" s="17" t="str">
        <x:v>发布门槛</x:v>
      </x:c>
      <x:c r="G15" s="17" t="str">
        <x:v>发布门槛</x:v>
      </x:c>
      <x:c r="H15" s="17" t="str">
        <x:v>发布门槛</x:v>
      </x:c>
      <x:c r="I15" s="17" t="str">
        <x:v>发布门槛</x:v>
      </x:c>
      <x:c r="J15" s="17" t="str">
        <x:v>发布门槛</x:v>
      </x:c>
    </x:row>
    <x:row r="16" ht="28" customHeight="1">
      <x:c r="A16" s="24" t="str">
        <x:v>门槛</x:v>
      </x:c>
      <x:c r="B16" s="24" t="str">
        <x:v>Netflix</x:v>
      </x:c>
      <x:c r="C16" s="24" t="str">
        <x:v>NVIDIA</x:v>
      </x:c>
      <x:c r="D16" s="24" t="str">
        <x:v>结果</x:v>
      </x:c>
    </x:row>
    <x:row r="17">
      <x:c r="A17" t="str">
        <x:v>收入MAPE≤8%</x:v>
      </x:c>
      <x:c r="B17" s="56" t="n">
        <x:v>0.032977352810383706</x:v>
      </x:c>
      <x:c r="C17" s="56" t="n">
        <x:v>0.03320386724253736</x:v>
      </x:c>
      <x:c r="D17" t="str">
        <x:v>通过</x:v>
      </x:c>
    </x:row>
    <x:row r="18">
      <x:c r="A18" t="str">
        <x:v>利润率误差≤5pp</x:v>
      </x:c>
      <x:c r="B18" s="58" t="n">
        <x:v>0.5284433612825965</x:v>
      </x:c>
      <x:c r="C18" s="58" t="n">
        <x:v>1.7627063227443933</x:v>
      </x:c>
      <x:c r="D18" t="str">
        <x:v>通过</x:v>
      </x:c>
    </x:row>
    <x:row r="19">
      <x:c r="A19" t="str">
        <x:v>收入方向≥80%</x:v>
      </x:c>
      <x:c r="B19" s="56" t="n">
        <x:v>1</x:v>
      </x:c>
      <x:c r="C19" s="56" t="n">
        <x:v>1</x:v>
      </x:c>
      <x:c r="D19" t="str">
        <x:v>通过</x:v>
      </x:c>
    </x:row>
    <x:row r="20">
      <x:c r="A20" t="str">
        <x:v>利润符号≥90%</x:v>
      </x:c>
      <x:c r="B20" s="56" t="n">
        <x:v>1</x:v>
      </x:c>
      <x:c r="C20" s="56" t="n">
        <x:v>1</x:v>
      </x:c>
      <x:c r="D20" t="str">
        <x:v>通过</x:v>
      </x:c>
    </x:row>
    <x:row r="21">
      <x:c r="A21" t="str">
        <x:v>收入覆盖≥80%</x:v>
      </x:c>
      <x:c r="B21" s="56" t="n">
        <x:v>1</x:v>
      </x:c>
      <x:c r="C21" s="56" t="n">
        <x:v>1</x:v>
      </x:c>
      <x:c r="D21" t="str">
        <x:v>通过</x:v>
      </x:c>
    </x:row>
    <x:row r="22">
      <x:c r="A22" t="str">
        <x:v>利润覆盖≥80%</x:v>
      </x:c>
      <x:c r="B22" s="56" t="n">
        <x:v>1</x:v>
      </x:c>
      <x:c r="C22" s="56" t="n">
        <x:v>1</x:v>
      </x:c>
      <x:c r="D22" t="str">
        <x:v>通过</x:v>
      </x:c>
    </x:row>
    <x:row r="23">
      <x:c r="A23" t="str">
        <x:v>区间分数改善≥30%</x:v>
      </x:c>
      <x:c r="B23" s="56" t="n">
        <x:v>0.6089251760146253</x:v>
      </x:c>
      <x:c r="C23" s="56" t="n">
        <x:v>0.7990067630069863</x:v>
      </x:c>
      <x:c r="D23" t="str">
        <x:v>通过</x:v>
      </x:c>
    </x:row>
    <x:row r="24">
      <x:c r="A24" t="str">
        <x:v>分布利润覆盖≥80%</x:v>
      </x:c>
      <x:c r="B24" s="56" t="n">
        <x:v>1</x:v>
      </x:c>
      <x:c r="C24" s="56" t="n">
        <x:v>1</x:v>
      </x:c>
      <x:c r="D24" t="str">
        <x:v>通过</x:v>
      </x:c>
    </x:row>
    <x:row r="25">
      <x:c r="A25" t="str">
        <x:v>Human-required存在</x:v>
      </x:c>
      <x:c r="B25" s="56" t="n">
        <x:v>1</x:v>
      </x:c>
      <x:c r="C25" s="56" t="n">
        <x:v>1</x:v>
      </x:c>
      <x:c r="D25" t="str">
        <x:v>通过</x:v>
      </x:c>
    </x:row>
    <x:row r="26">
      <x:c r="A26" t="str">
        <x:v>全回归无退化</x:v>
      </x:c>
      <x:c r="B26" s="56" t="n">
        <x:v>1</x:v>
      </x:c>
      <x:c r="C26" s="56" t="n">
        <x:v>1</x:v>
      </x:c>
      <x:c r="D26" t="str">
        <x:v>通过</x:v>
      </x:c>
    </x:row>
  </x:sheetData>
  <x:mergeCells>
    <x:mergeCell ref="A1:J1"/>
    <x:mergeCell ref="A2:J2"/>
    <x:mergeCell ref="A15:J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37" hidden="0" customWidth="1"/>
    <x:col min="5" max="5" width="28" hidden="0" customWidth="1"/>
    <x:col min="6" max="6" width="42" hidden="0" customWidth="1"/>
    <x:col min="7" max="7" width="28" hidden="0" customWidth="1"/>
    <x:col min="8" max="8" width="35" hidden="0" customWidth="1"/>
    <x:col min="9" max="9" width="42" hidden="0" customWidth="1"/>
    <x:col min="10" max="10" width="22" hidden="0" customWidth="1"/>
    <x:col min="11" max="11" width="29" hidden="0" customWidth="1"/>
    <x:col min="12" max="12" width="15" hidden="0" customWidth="1"/>
  </x:cols>
  <x:sheetData>
    <x:row r="1" ht="28" customHeight="1">
      <x:c r="A1" s="4" t="str">
        <x:v>Netflix点时点证据</x:v>
      </x:c>
      <x:c r="B1" s="4" t="str">
        <x:v>Netflix点时点证据</x:v>
      </x:c>
      <x:c r="C1" s="4" t="str">
        <x:v>Netflix点时点证据</x:v>
      </x:c>
      <x:c r="D1" s="4" t="str">
        <x:v>Netflix点时点证据</x:v>
      </x:c>
      <x:c r="E1" s="4" t="str">
        <x:v>Netflix点时点证据</x:v>
      </x:c>
      <x:c r="F1" s="4" t="str">
        <x:v>Netflix点时点证据</x:v>
      </x:c>
      <x:c r="G1" s="4" t="str">
        <x:v>Netflix点时点证据</x:v>
      </x:c>
      <x:c r="H1" s="4" t="str">
        <x:v>Netflix点时点证据</x:v>
      </x:c>
      <x:c r="I1" s="4" t="str">
        <x:v>Netflix点时点证据</x:v>
      </x:c>
      <x:c r="J1" s="4" t="str">
        <x:v>Netflix点时点证据</x:v>
      </x:c>
      <x:c r="K1" s="4" t="str">
        <x:v>Netflix点时点证据</x:v>
      </x:c>
      <x:c r="L1" s="4" t="str">
        <x:v>Netflix点时点证据</x:v>
      </x:c>
    </x:row>
    <x:row r="2" ht="35" customHeight="1">
      <x:c r="A2" s="11" t="str">
        <x:v>订阅增长、地域成熟度、价格、内容经济与现金融资必须同时建模。</x:v>
      </x:c>
      <x:c r="B2" s="11" t="str">
        <x:v>订阅增长、地域成熟度、价格、内容经济与现金融资必须同时建模。</x:v>
      </x:c>
      <x:c r="C2" s="11" t="str">
        <x:v>订阅增长、地域成熟度、价格、内容经济与现金融资必须同时建模。</x:v>
      </x:c>
      <x:c r="D2" s="11" t="str">
        <x:v>订阅增长、地域成熟度、价格、内容经济与现金融资必须同时建模。</x:v>
      </x:c>
      <x:c r="E2" s="11" t="str">
        <x:v>订阅增长、地域成熟度、价格、内容经济与现金融资必须同时建模。</x:v>
      </x:c>
      <x:c r="F2" s="11" t="str">
        <x:v>订阅增长、地域成熟度、价格、内容经济与现金融资必须同时建模。</x:v>
      </x:c>
      <x:c r="G2" s="11" t="str">
        <x:v>订阅增长、地域成熟度、价格、内容经济与现金融资必须同时建模。</x:v>
      </x:c>
      <x:c r="H2" s="11" t="str">
        <x:v>订阅增长、地域成熟度、价格、内容经济与现金融资必须同时建模。</x:v>
      </x:c>
      <x:c r="I2" s="11" t="str">
        <x:v>订阅增长、地域成熟度、价格、内容经济与现金融资必须同时建模。</x:v>
      </x:c>
      <x:c r="J2" s="11" t="str">
        <x:v>订阅增长、地域成熟度、价格、内容经济与现金融资必须同时建模。</x:v>
      </x:c>
      <x:c r="K2" s="11" t="str">
        <x:v>订阅增长、地域成熟度、价格、内容经济与现金融资必须同时建模。</x:v>
      </x:c>
      <x:c r="L2" s="11" t="str">
        <x:v>订阅增长、地域成熟度、价格、内容经济与现金融资必须同时建模。</x:v>
      </x:c>
    </x:row>
    <x:row r="4" ht="28" customHeight="1">
      <x:c r="A4" s="24" t="str">
        <x:v>截面</x:v>
      </x:c>
      <x:c r="B4" s="24" t="str">
        <x:v>基期收入</x:v>
      </x:c>
      <x:c r="C4" s="24" t="str">
        <x:v>营业利润</x:v>
      </x:c>
      <x:c r="D4" s="24" t="str">
        <x:v>会员/地域信号</x:v>
      </x:c>
      <x:c r="E4" s="24" t="str">
        <x:v>价格/ARPU</x:v>
      </x:c>
      <x:c r="F4" s="24" t="str">
        <x:v>内容现金信号</x:v>
      </x:c>
      <x:c r="G4" s="24" t="str">
        <x:v>资本结构</x:v>
      </x:c>
      <x:c r="H4" s="24" t="str">
        <x:v>旧错误</x:v>
      </x:c>
      <x:c r="I4" s="24" t="str">
        <x:v>v7.2处理</x:v>
      </x:c>
      <x:c r="J4" s="24" t="str">
        <x:v>评价合同</x:v>
      </x:c>
      <x:c r="K4" s="24" t="str">
        <x:v>来源ID</x:v>
      </x:c>
      <x:c r="L4" s="24" t="str">
        <x:v>等级</x:v>
      </x:c>
    </x:row>
    <x:row r="5" ht="78" customHeight="1">
      <x:c r="A5" s="46" t="str">
        <x:v>FY2014</x:v>
      </x:c>
      <x:c r="B5" s="46" t="n">
        <x:v>5.505</x:v>
      </x:c>
      <x:c r="C5" s="46" t="n">
        <x:v>0.403</x:v>
      </x:c>
      <x:c r="D5" s="46" t="str">
        <x:v>国内成熟、国际扩张亏损</x:v>
      </x:c>
      <x:c r="E5" s="46" t="str">
        <x:v>计划/价格mix变化</x:v>
      </x:c>
      <x:c r="F5" s="46" t="str">
        <x:v>内容现金投入高于摊销</x:v>
      </x:c>
      <x:c r="G5" s="46" t="str">
        <x:v>债务/内容义务上升</x:v>
      </x:c>
      <x:c r="H5" s="46" t="str">
        <x:v>净增会员直接外推收入</x:v>
      </x:c>
      <x:c r="I5" s="46" t="str">
        <x:v>cohort、平均会员、ARPU和贡献利润</x:v>
      </x:c>
      <x:c r="J5" s="46" t="str">
        <x:v>校准</x:v>
      </x:c>
      <x:c r="K5" s="46" t="str">
        <x:v>NFLX 2014–17 10-K</x:v>
      </x:c>
      <x:c r="L5" s="46" t="str">
        <x:v>E0/E1＋E3</x:v>
      </x:c>
    </x:row>
    <x:row r="6" ht="78" customHeight="1">
      <x:c r="A6" s="46" t="str">
        <x:v>FY2016</x:v>
      </x:c>
      <x:c r="B6" s="46" t="n">
        <x:v>8.831</x:v>
      </x:c>
      <x:c r="C6" s="46" t="n">
        <x:v>0.38</x:v>
      </x:c>
      <x:c r="D6" s="46" t="str">
        <x:v>国际接近盈亏拐点</x:v>
      </x:c>
      <x:c r="E6" s="46" t="str">
        <x:v>价格与计划mix</x:v>
      </x:c>
      <x:c r="F6" s="46" t="str">
        <x:v>FCF -16.6亿；内容义务144.8亿</x:v>
      </x:c>
      <x:c r="G6" s="46" t="str">
        <x:v>依赖债务融资</x:v>
      </x:c>
      <x:c r="H6" s="46" t="str">
        <x:v>全公司统一margin</x:v>
      </x:c>
      <x:c r="I6" s="46" t="str">
        <x:v>地域成熟曲线＋内容现金桥</x:v>
      </x:c>
      <x:c r="J6" s="46" t="str">
        <x:v>伪留出</x:v>
      </x:c>
      <x:c r="K6" s="46" t="str">
        <x:v>NFLX 2016–19 10-K</x:v>
      </x:c>
      <x:c r="L6" s="46" t="str">
        <x:v>E0/E1＋E3</x:v>
      </x:c>
    </x:row>
    <x:row r="7" ht="78" customHeight="1">
      <x:c r="A7" s="46" t="str">
        <x:v>FY2018</x:v>
      </x:c>
      <x:c r="B7" s="46" t="n">
        <x:v>15.794</x:v>
      </x:c>
      <x:c r="C7" s="46" t="n">
        <x:v>1.605</x:v>
      </x:c>
      <x:c r="D7" s="46" t="str">
        <x:v>全球会员139.3m</x:v>
      </x:c>
      <x:c r="E7" s="46" t="str">
        <x:v>ARPU约10.31</x:v>
      </x:c>
      <x:c r="F7" s="46" t="str">
        <x:v>现金内容投入显著高于摊销</x:v>
      </x:c>
      <x:c r="G7" s="46" t="str">
        <x:v>FCF仍大幅为负</x:v>
      </x:c>
      <x:c r="H7" s="46" t="str">
        <x:v>疫情实际线性化</x:v>
      </x:c>
      <x:c r="I7" s="46" t="str">
        <x:v>FY19普通点值；FY20–21外生分布</x:v>
      </x:c>
      <x:c r="J7" s="46" t="str">
        <x:v>混合合同</x:v>
      </x:c>
      <x:c r="K7" s="46" t="str">
        <x:v>NFLX 2018–21 10-K</x:v>
      </x:c>
      <x:c r="L7" s="46" t="str">
        <x:v>E0/E1＋E3</x:v>
      </x:c>
    </x:row>
    <x:row r="8" ht="78" customHeight="1">
      <x:c r="A8" s="46" t="str">
        <x:v>FY2019</x:v>
      </x:c>
      <x:c r="B8" s="46" t="n">
        <x:v>20.156</x:v>
      </x:c>
      <x:c r="C8" s="46" t="n">
        <x:v>2.604</x:v>
      </x:c>
      <x:c r="D8" s="46" t="str">
        <x:v>全球会员167.1m</x:v>
      </x:c>
      <x:c r="E8" s="46" t="str">
        <x:v>ARPU约10.82</x:v>
      </x:c>
      <x:c r="F8" s="46" t="str">
        <x:v>现金内容146.1亿、摊销92.2亿；FCF -32.7亿</x:v>
      </x:c>
      <x:c r="G8" s="46" t="str">
        <x:v>债务/义务高</x:v>
      </x:c>
      <x:c r="H8" s="46" t="str">
        <x:v>未来疫情倒填Base</x:v>
      </x:c>
      <x:c r="I8" s="46" t="str">
        <x:v>distribution-only；评估内容现金韧性</x:v>
      </x:c>
      <x:c r="J8" s="46" t="str">
        <x:v>90%分布</x:v>
      </x:c>
      <x:c r="K8" s="46" t="str">
        <x:v>NFLX 2019–22 10-K</x:v>
      </x:c>
      <x:c r="L8" s="46" t="str">
        <x:v>E0/E1＋E3</x:v>
      </x:c>
    </x:row>
    <x:row r="9" ht="78" customHeight="1">
      <x:c r="A9" s="46" t="str">
        <x:v>后续实际</x:v>
      </x:c>
      <x:c r="B9" s="46"/>
      <x:c r="C9" s="46"/>
      <x:c r="D9" s="46" t="str">
        <x:v>疫情拉前需求、制作/付款延期，随后正常化</x:v>
      </x:c>
      <x:c r="E9" s="46" t="str">
        <x:v>价格和地域继续变化</x:v>
      </x:c>
      <x:c r="F9" s="46" t="str">
        <x:v>FY20 FCF转正；FY21再转负</x:v>
      </x:c>
      <x:c r="G9" s="46" t="str">
        <x:v>现金经济与利润错位</x:v>
      </x:c>
      <x:c r="H9" s="46" t="str">
        <x:v>—</x:v>
      </x:c>
      <x:c r="I9" s="46" t="str">
        <x:v>证明外生冲击和内容现金桥必要</x:v>
      </x:c>
      <x:c r="J9" s="46" t="str">
        <x:v>Actual</x:v>
      </x:c>
      <x:c r="K9" s="46" t="str">
        <x:v>NFLX 2020–22 10-K</x:v>
      </x:c>
      <x:c r="L9" s="46" t="str">
        <x:v>E0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0" hidden="0" customWidth="1"/>
    <x:col min="3" max="3" width="35" hidden="0" customWidth="1"/>
    <x:col min="4" max="4" width="31" hidden="0" customWidth="1"/>
    <x:col min="5" max="5" width="26" hidden="0" customWidth="1"/>
    <x:col min="6" max="6" width="17" hidden="0" customWidth="1"/>
    <x:col min="7" max="7" width="34" hidden="0" customWidth="1"/>
    <x:col min="8" max="8" width="17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4" t="str">
        <x:v>Netflix内容会计、现金投入与地域成熟</x:v>
      </x:c>
      <x:c r="B1" s="4" t="str">
        <x:v>Netflix内容会计、现金投入与地域成熟</x:v>
      </x:c>
      <x:c r="C1" s="4" t="str">
        <x:v>Netflix内容会计、现金投入与地域成熟</x:v>
      </x:c>
      <x:c r="D1" s="4" t="str">
        <x:v>Netflix内容会计、现金投入与地域成熟</x:v>
      </x:c>
      <x:c r="E1" s="4" t="str">
        <x:v>Netflix内容会计、现金投入与地域成熟</x:v>
      </x:c>
      <x:c r="F1" s="4" t="str">
        <x:v>Netflix内容会计、现金投入与地域成熟</x:v>
      </x:c>
      <x:c r="G1" s="4" t="str">
        <x:v>Netflix内容会计、现金投入与地域成熟</x:v>
      </x:c>
      <x:c r="H1" s="4" t="str">
        <x:v>Netflix内容会计、现金投入与地域成熟</x:v>
      </x:c>
      <x:c r="I1" s="4" t="str">
        <x:v>Netflix内容会计、现金投入与地域成熟</x:v>
      </x:c>
      <x:c r="J1" s="4" t="str">
        <x:v>Netflix内容会计、现金投入与地域成熟</x:v>
      </x:c>
      <x:c r="K1" s="4" t="str">
        <x:v>Netflix内容会计、现金投入与地域成熟</x:v>
      </x:c>
      <x:c r="L1" s="4" t="str">
        <x:v>Netflix内容会计、现金投入与地域成熟</x:v>
      </x:c>
    </x:row>
    <x:row r="2" ht="35" customHeight="1">
      <x:c r="A2" s="11" t="str">
        <x:v>报告利润由内容摊销驱动，现金流由现金内容投入驱动。</x:v>
      </x:c>
      <x:c r="B2" s="11" t="str">
        <x:v>报告利润由内容摊销驱动，现金流由现金内容投入驱动。</x:v>
      </x:c>
      <x:c r="C2" s="11" t="str">
        <x:v>报告利润由内容摊销驱动，现金流由现金内容投入驱动。</x:v>
      </x:c>
      <x:c r="D2" s="11" t="str">
        <x:v>报告利润由内容摊销驱动，现金流由现金内容投入驱动。</x:v>
      </x:c>
      <x:c r="E2" s="11" t="str">
        <x:v>报告利润由内容摊销驱动，现金流由现金内容投入驱动。</x:v>
      </x:c>
      <x:c r="F2" s="11" t="str">
        <x:v>报告利润由内容摊销驱动，现金流由现金内容投入驱动。</x:v>
      </x:c>
      <x:c r="G2" s="11" t="str">
        <x:v>报告利润由内容摊销驱动，现金流由现金内容投入驱动。</x:v>
      </x:c>
      <x:c r="H2" s="11" t="str">
        <x:v>报告利润由内容摊销驱动，现金流由现金内容投入驱动。</x:v>
      </x:c>
      <x:c r="I2" s="11" t="str">
        <x:v>报告利润由内容摊销驱动，现金流由现金内容投入驱动。</x:v>
      </x:c>
      <x:c r="J2" s="11" t="str">
        <x:v>报告利润由内容摊销驱动，现金流由现金内容投入驱动。</x:v>
      </x:c>
      <x:c r="K2" s="11" t="str">
        <x:v>报告利润由内容摊销驱动，现金流由现金内容投入驱动。</x:v>
      </x:c>
      <x:c r="L2" s="11" t="str">
        <x:v>报告利润由内容摊销驱动，现金流由现金内容投入驱动。</x:v>
      </x:c>
    </x:row>
    <x:row r="4" ht="28" customHeight="1">
      <x:c r="A4" s="24" t="str">
        <x:v>年度</x:v>
      </x:c>
      <x:c r="B4" s="24" t="str">
        <x:v>收入</x:v>
      </x:c>
      <x:c r="C4" s="24" t="str">
        <x:v>营业利润</x:v>
      </x:c>
      <x:c r="D4" s="24" t="str">
        <x:v>现金内容投入</x:v>
      </x:c>
      <x:c r="E4" s="24" t="str">
        <x:v>内容摊销</x:v>
      </x:c>
      <x:c r="F4" s="24" t="str">
        <x:v>现金－摊销</x:v>
      </x:c>
      <x:c r="G4" s="24" t="str">
        <x:v>FCF</x:v>
      </x:c>
    </x:row>
    <x:row r="5">
      <x:c r="A5" t="str">
        <x:v>FY2017</x:v>
      </x:c>
      <x:c r="B5" s="60" t="n">
        <x:v>11.693</x:v>
      </x:c>
      <x:c r="C5" s="60" t="n">
        <x:v>0.839</x:v>
      </x:c>
      <x:c r="D5" s="60" t="n">
        <x:v>8.906</x:v>
      </x:c>
      <x:c r="E5" s="60" t="n">
        <x:v>6.198</x:v>
      </x:c>
      <x:c r="F5" s="60" t="n">
        <x:v>2.708</x:v>
      </x:c>
      <x:c r="G5" s="60" t="n">
        <x:v>-2.019</x:v>
      </x:c>
    </x:row>
    <x:row r="6">
      <x:c r="A6" t="str">
        <x:v>FY2018</x:v>
      </x:c>
      <x:c r="B6" s="60" t="n">
        <x:v>15.794</x:v>
      </x:c>
      <x:c r="C6" s="60" t="n">
        <x:v>1.605</x:v>
      </x:c>
      <x:c r="D6" s="60" t="n">
        <x:v>12.04</x:v>
      </x:c>
      <x:c r="E6" s="60" t="n">
        <x:v>7.532</x:v>
      </x:c>
      <x:c r="F6" s="60" t="n">
        <x:v>4.508</x:v>
      </x:c>
      <x:c r="G6" s="60" t="n">
        <x:v>-3.02</x:v>
      </x:c>
    </x:row>
    <x:row r="7">
      <x:c r="A7" t="str">
        <x:v>FY2019</x:v>
      </x:c>
      <x:c r="B7" s="60" t="n">
        <x:v>20.156</x:v>
      </x:c>
      <x:c r="C7" s="60" t="n">
        <x:v>2.604</x:v>
      </x:c>
      <x:c r="D7" s="60" t="n">
        <x:v>14.611</x:v>
      </x:c>
      <x:c r="E7" s="60" t="n">
        <x:v>9.216</x:v>
      </x:c>
      <x:c r="F7" s="60" t="n">
        <x:v>5.395</x:v>
      </x:c>
      <x:c r="G7" s="60" t="n">
        <x:v>-3.274</x:v>
      </x:c>
    </x:row>
    <x:row r="8">
      <x:c r="A8" t="str">
        <x:v>FY2020</x:v>
      </x:c>
      <x:c r="B8" s="60" t="n">
        <x:v>24.996</x:v>
      </x:c>
      <x:c r="C8" s="60" t="n">
        <x:v>4.585</x:v>
      </x:c>
      <x:c r="D8" s="60" t="n">
        <x:v>12.537</x:v>
      </x:c>
      <x:c r="E8" s="60" t="n">
        <x:v>10.807</x:v>
      </x:c>
      <x:c r="F8" s="60" t="n">
        <x:v>1.73</x:v>
      </x:c>
      <x:c r="G8" s="60" t="n">
        <x:v>1.922</x:v>
      </x:c>
    </x:row>
    <x:row r="9">
      <x:c r="A9" t="str">
        <x:v>FY2021</x:v>
      </x:c>
      <x:c r="B9" s="60" t="n">
        <x:v>29.698</x:v>
      </x:c>
      <x:c r="C9" s="60" t="n">
        <x:v>6.195</x:v>
      </x:c>
      <x:c r="D9" s="60" t="n">
        <x:v>17.469</x:v>
      </x:c>
      <x:c r="E9" s="60" t="n">
        <x:v>12.23</x:v>
      </x:c>
      <x:c r="F9" s="60" t="n">
        <x:v>5.239</x:v>
      </x:c>
      <x:c r="G9" s="60" t="n">
        <x:v>-0.159</x:v>
      </x:c>
    </x:row>
    <x:row r="10">
      <x:c r="A10" t="str">
        <x:v>FY2022</x:v>
      </x:c>
      <x:c r="B10" s="60" t="n">
        <x:v>31.616</x:v>
      </x:c>
      <x:c r="C10" s="60" t="n">
        <x:v>5.633</x:v>
      </x:c>
      <x:c r="D10" s="60" t="n">
        <x:v>16.66</x:v>
      </x:c>
      <x:c r="E10" s="60" t="n">
        <x:v>14.026</x:v>
      </x:c>
      <x:c r="F10" s="60" t="n">
        <x:v>2.634</x:v>
      </x:c>
      <x:c r="G10" s="60" t="n">
        <x:v>1.619</x:v>
      </x:c>
    </x:row>
    <x:row r="12" ht="21" customHeight="1">
      <x:c r="A12" s="17" t="str">
        <x:v>统一订阅/内容方程</x:v>
      </x:c>
      <x:c r="B12" s="17" t="str">
        <x:v>统一订阅/内容方程</x:v>
      </x:c>
      <x:c r="C12" s="17" t="str">
        <x:v>统一订阅/内容方程</x:v>
      </x:c>
      <x:c r="D12" s="17" t="str">
        <x:v>统一订阅/内容方程</x:v>
      </x:c>
      <x:c r="E12" s="17" t="str">
        <x:v>统一订阅/内容方程</x:v>
      </x:c>
      <x:c r="F12" s="17" t="str">
        <x:v>统一订阅/内容方程</x:v>
      </x:c>
      <x:c r="G12" s="17" t="str">
        <x:v>统一订阅/内容方程</x:v>
      </x:c>
      <x:c r="H12" s="17" t="str">
        <x:v>统一订阅/内容方程</x:v>
      </x:c>
      <x:c r="I12" s="17" t="str">
        <x:v>统一订阅/内容方程</x:v>
      </x:c>
      <x:c r="J12" s="17" t="str">
        <x:v>统一订阅/内容方程</x:v>
      </x:c>
      <x:c r="K12" s="17" t="str">
        <x:v>统一订阅/内容方程</x:v>
      </x:c>
      <x:c r="L12" s="17" t="str">
        <x:v>统一订阅/内容方程</x:v>
      </x:c>
    </x:row>
    <x:row r="13" ht="28" customHeight="1">
      <x:c r="A13" s="24" t="str">
        <x:v>模块</x:v>
      </x:c>
      <x:c r="B13" s="24" t="str">
        <x:v>公式/要求</x:v>
      </x:c>
      <x:c r="C13" s="24" t="str">
        <x:v>事实输入</x:v>
      </x:c>
      <x:c r="D13" s="24" t="str">
        <x:v>分析师输入</x:v>
      </x:c>
      <x:c r="E13" s="24" t="str">
        <x:v>输出</x:v>
      </x:c>
      <x:c r="F13" s="24" t="str">
        <x:v>Human-required</x:v>
      </x:c>
      <x:c r="G13" s="24" t="str">
        <x:v>错误风险</x:v>
      </x:c>
      <x:c r="H13" s="24" t="str">
        <x:v>权限</x:v>
      </x:c>
    </x:row>
    <x:row r="14" ht="45" customHeight="1">
      <x:c r="A14" s="46" t="str">
        <x:v>会员桥</x:v>
      </x:c>
      <x:c r="B14" s="46" t="str">
        <x:v>期末会员=期初＋gross adds－churn</x:v>
      </x:c>
      <x:c r="C14" s="46" t="str">
        <x:v>付费会员/净增</x:v>
      </x:c>
      <x:c r="D14" s="46" t="str">
        <x:v>gross adds、churn</x:v>
      </x:c>
      <x:c r="E14" s="46" t="str">
        <x:v>平均付费会员</x:v>
      </x:c>
      <x:c r="F14" s="46" t="str">
        <x:v>是</x:v>
      </x:c>
      <x:c r="G14" s="46" t="str">
        <x:v>净增掩盖流失</x:v>
      </x:c>
      <x:c r="H14" s="46" t="str">
        <x:v>收入</x:v>
      </x:c>
    </x:row>
    <x:row r="15" ht="45" customHeight="1">
      <x:c r="A15" s="46" t="str">
        <x:v>收入桥</x:v>
      </x:c>
      <x:c r="B15" s="46" t="str">
        <x:v>平均会员×ARPU＋广告/其他</x:v>
      </x:c>
      <x:c r="C15" s="46" t="str">
        <x:v>地域收入、会员、ARPU</x:v>
      </x:c>
      <x:c r="D15" s="46" t="str">
        <x:v>价格、套餐mix、FX</x:v>
      </x:c>
      <x:c r="E15" s="46" t="str">
        <x:v>分地域收入</x:v>
      </x:c>
      <x:c r="F15" s="46" t="str">
        <x:v>部分</x:v>
      </x:c>
      <x:c r="G15" s="46" t="str">
        <x:v>全局ARPU误导</x:v>
      </x:c>
      <x:c r="H15" s="46" t="str">
        <x:v>收入</x:v>
      </x:c>
    </x:row>
    <x:row r="16" ht="45" customHeight="1">
      <x:c r="A16" s="46" t="str">
        <x:v>地域成熟</x:v>
      </x:c>
      <x:c r="B16" s="46" t="str">
        <x:v>cohort age×渗透×churn×价格能力</x:v>
      </x:c>
      <x:c r="C16" s="46" t="str">
        <x:v>地域会员/贡献利润</x:v>
      </x:c>
      <x:c r="D16" s="46" t="str">
        <x:v>成熟曲线</x:v>
      </x:c>
      <x:c r="E16" s="46" t="str">
        <x:v>地域贡献</x:v>
      </x:c>
      <x:c r="F16" s="46" t="str">
        <x:v>是</x:v>
      </x:c>
      <x:c r="G16" s="46" t="str">
        <x:v>国际亏损永久化或过快收敛</x:v>
      </x:c>
      <x:c r="H16" s="46" t="str">
        <x:v>利润</x:v>
      </x:c>
    </x:row>
    <x:row r="17" ht="45" customHeight="1">
      <x:c r="A17" s="46" t="str">
        <x:v>内容利润</x:v>
      </x:c>
      <x:c r="B17" s="46" t="str">
        <x:v>收入－内容摊销－营销－技术－G&amp;A</x:v>
      </x:c>
      <x:c r="C17" s="46" t="str">
        <x:v>GAAP报表</x:v>
      </x:c>
      <x:c r="D17" s="46" t="str">
        <x:v>内容mix</x:v>
      </x:c>
      <x:c r="E17" s="46" t="str">
        <x:v>营业利润</x:v>
      </x:c>
      <x:c r="F17" s="46" t="str">
        <x:v>否</x:v>
      </x:c>
      <x:c r="G17" s="46" t="str">
        <x:v>用现金支出替代摊销</x:v>
      </x:c>
      <x:c r="H17" s="46" t="str">
        <x:v>GAAP</x:v>
      </x:c>
    </x:row>
    <x:row r="18" ht="45" customHeight="1">
      <x:c r="A18" s="46" t="str">
        <x:v>内容现金</x:v>
      </x:c>
      <x:c r="B18" s="46" t="str">
        <x:v>现金内容投入＋义务变化</x:v>
      </x:c>
      <x:c r="C18" s="46" t="str">
        <x:v>现金流/内容义务</x:v>
      </x:c>
      <x:c r="D18" s="46" t="str">
        <x:v>制作节奏</x:v>
      </x:c>
      <x:c r="E18" s="46" t="str">
        <x:v>现金内容负担</x:v>
      </x:c>
      <x:c r="F18" s="46" t="str">
        <x:v>是</x:v>
      </x:c>
      <x:c r="G18" s="46" t="str">
        <x:v>利润误作FCF</x:v>
      </x:c>
      <x:c r="H18" s="46" t="str">
        <x:v>现金流</x:v>
      </x:c>
    </x:row>
    <x:row r="19" ht="45" customHeight="1">
      <x:c r="A19" s="46" t="str">
        <x:v>融资桥</x:v>
      </x:c>
      <x:c r="B19" s="46" t="str">
        <x:v>现金内容缺口＋债务/现金</x:v>
      </x:c>
      <x:c r="C19" s="46" t="str">
        <x:v>债务和FCF</x:v>
      </x:c>
      <x:c r="D19" s="46" t="str">
        <x:v>融资成本</x:v>
      </x:c>
      <x:c r="E19" s="46" t="str">
        <x:v>可持续性</x:v>
      </x:c>
      <x:c r="F19" s="46" t="str">
        <x:v>是</x:v>
      </x:c>
      <x:c r="G19" s="46" t="str">
        <x:v>忽略资本结构</x:v>
      </x:c>
      <x:c r="H19" s="46" t="str">
        <x:v>估值</x:v>
      </x:c>
    </x:row>
    <x:row r="20" ht="45" customHeight="1">
      <x:c r="A20" s="46" t="str">
        <x:v>外生冲击</x:v>
      </x:c>
      <x:c r="B20" s="46" t="str">
        <x:v>普通Base＋离散shock tail</x:v>
      </x:c>
      <x:c r="C20" s="46" t="str">
        <x:v>可见证据</x:v>
      </x:c>
      <x:c r="D20" s="46" t="str">
        <x:v>概率/区间</x:v>
      </x:c>
      <x:c r="E20" s="46" t="str">
        <x:v>分布</x:v>
      </x:c>
      <x:c r="F20" s="46" t="str">
        <x:v>是</x:v>
      </x:c>
      <x:c r="G20" s="46" t="str">
        <x:v>事后倒填疫情</x:v>
      </x:c>
      <x:c r="H20" s="46" t="str">
        <x:v>三年</x:v>
      </x:c>
    </x:row>
    <x:row r="21" ht="45" customHeight="1">
      <x:c r="A21" s="46" t="str">
        <x:v>估值</x:v>
      </x:c>
      <x:c r="B21" s="46" t="str">
        <x:v>正常化会员/ARPU/margin/现金强度</x:v>
      </x:c>
      <x:c r="C21" s="46" t="str">
        <x:v>上述</x:v>
      </x:c>
      <x:c r="D21" s="46" t="str">
        <x:v>终值</x:v>
      </x:c>
      <x:c r="E21" s="46" t="str">
        <x:v>价值区间</x:v>
      </x:c>
      <x:c r="F21" s="46" t="str">
        <x:v>是</x:v>
      </x:c>
      <x:c r="G21" s="46" t="str">
        <x:v>增长期倍数永久化</x:v>
      </x:c>
      <x:c r="H21" s="46" t="str">
        <x:v>估值</x:v>
      </x:c>
    </x:row>
  </x:sheetData>
  <x:mergeCells>
    <x:mergeCell ref="A1:L1"/>
    <x:mergeCell ref="A2:L2"/>
    <x:mergeCell ref="A12:L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38" hidden="0" customWidth="1"/>
    <x:col min="5" max="5" width="32" hidden="0" customWidth="1"/>
    <x:col min="6" max="6" width="34" hidden="0" customWidth="1"/>
    <x:col min="7" max="7" width="31" hidden="0" customWidth="1"/>
    <x:col min="8" max="8" width="36" hidden="0" customWidth="1"/>
    <x:col min="9" max="9" width="43" hidden="0" customWidth="1"/>
    <x:col min="10" max="10" width="22" hidden="0" customWidth="1"/>
    <x:col min="11" max="11" width="30" hidden="0" customWidth="1"/>
    <x:col min="12" max="12" width="15" hidden="0" customWidth="1"/>
  </x:cols>
  <x:sheetData>
    <x:row r="1" ht="28" customHeight="1">
      <x:c r="A1" s="4" t="str">
        <x:v>NVIDIA点时点证据</x:v>
      </x:c>
      <x:c r="B1" s="4" t="str">
        <x:v>NVIDIA点时点证据</x:v>
      </x:c>
      <x:c r="C1" s="4" t="str">
        <x:v>NVIDIA点时点证据</x:v>
      </x:c>
      <x:c r="D1" s="4" t="str">
        <x:v>NVIDIA点时点证据</x:v>
      </x:c>
      <x:c r="E1" s="4" t="str">
        <x:v>NVIDIA点时点证据</x:v>
      </x:c>
      <x:c r="F1" s="4" t="str">
        <x:v>NVIDIA点时点证据</x:v>
      </x:c>
      <x:c r="G1" s="4" t="str">
        <x:v>NVIDIA点时点证据</x:v>
      </x:c>
      <x:c r="H1" s="4" t="str">
        <x:v>NVIDIA点时点证据</x:v>
      </x:c>
      <x:c r="I1" s="4" t="str">
        <x:v>NVIDIA点时点证据</x:v>
      </x:c>
      <x:c r="J1" s="4" t="str">
        <x:v>NVIDIA点时点证据</x:v>
      </x:c>
      <x:c r="K1" s="4" t="str">
        <x:v>NVIDIA点时点证据</x:v>
      </x:c>
      <x:c r="L1" s="4" t="str">
        <x:v>NVIDIA点时点证据</x:v>
      </x:c>
    </x:row>
    <x:row r="2" ht="35" customHeight="1">
      <x:c r="A2" s="11" t="str">
        <x:v>平台收入、渠道库存、供应约束、并购边界和GAAP利润桥分开。</x:v>
      </x:c>
      <x:c r="B2" s="11" t="str">
        <x:v>平台收入、渠道库存、供应约束、并购边界和GAAP利润桥分开。</x:v>
      </x:c>
      <x:c r="C2" s="11" t="str">
        <x:v>平台收入、渠道库存、供应约束、并购边界和GAAP利润桥分开。</x:v>
      </x:c>
      <x:c r="D2" s="11" t="str">
        <x:v>平台收入、渠道库存、供应约束、并购边界和GAAP利润桥分开。</x:v>
      </x:c>
      <x:c r="E2" s="11" t="str">
        <x:v>平台收入、渠道库存、供应约束、并购边界和GAAP利润桥分开。</x:v>
      </x:c>
      <x:c r="F2" s="11" t="str">
        <x:v>平台收入、渠道库存、供应约束、并购边界和GAAP利润桥分开。</x:v>
      </x:c>
      <x:c r="G2" s="11" t="str">
        <x:v>平台收入、渠道库存、供应约束、并购边界和GAAP利润桥分开。</x:v>
      </x:c>
      <x:c r="H2" s="11" t="str">
        <x:v>平台收入、渠道库存、供应约束、并购边界和GAAP利润桥分开。</x:v>
      </x:c>
      <x:c r="I2" s="11" t="str">
        <x:v>平台收入、渠道库存、供应约束、并购边界和GAAP利润桥分开。</x:v>
      </x:c>
      <x:c r="J2" s="11" t="str">
        <x:v>平台收入、渠道库存、供应约束、并购边界和GAAP利润桥分开。</x:v>
      </x:c>
      <x:c r="K2" s="11" t="str">
        <x:v>平台收入、渠道库存、供应约束、并购边界和GAAP利润桥分开。</x:v>
      </x:c>
      <x:c r="L2" s="11" t="str">
        <x:v>平台收入、渠道库存、供应约束、并购边界和GAAP利润桥分开。</x:v>
      </x:c>
    </x:row>
    <x:row r="4" ht="28" customHeight="1">
      <x:c r="A4" s="24" t="str">
        <x:v>截面</x:v>
      </x:c>
      <x:c r="B4" s="24" t="str">
        <x:v>收入</x:v>
      </x:c>
      <x:c r="C4" s="24" t="str">
        <x:v>营业利润</x:v>
      </x:c>
      <x:c r="D4" s="24" t="str">
        <x:v>平台信号</x:v>
      </x:c>
      <x:c r="E4" s="24" t="str">
        <x:v>渠道/库存</x:v>
      </x:c>
      <x:c r="F4" s="24" t="str">
        <x:v>供应/采购</x:v>
      </x:c>
      <x:c r="G4" s="24" t="str">
        <x:v>企业边界</x:v>
      </x:c>
      <x:c r="H4" s="24" t="str">
        <x:v>旧错误</x:v>
      </x:c>
      <x:c r="I4" s="24" t="str">
        <x:v>v7.2处理</x:v>
      </x:c>
      <x:c r="J4" s="24" t="str">
        <x:v>评价合同</x:v>
      </x:c>
      <x:c r="K4" s="24" t="str">
        <x:v>来源ID</x:v>
      </x:c>
      <x:c r="L4" s="24" t="str">
        <x:v>等级</x:v>
      </x:c>
    </x:row>
    <x:row r="5" ht="78" customHeight="1">
      <x:c r="A5" s="46" t="str">
        <x:v>FY2018</x:v>
      </x:c>
      <x:c r="B5" s="46" t="n">
        <x:v>9.714</x:v>
      </x:c>
      <x:c r="C5" s="46" t="n">
        <x:v>3.21</x:v>
      </x:c>
      <x:c r="D5" s="46" t="str">
        <x:v>Gaming与DC增长</x:v>
      </x:c>
      <x:c r="E5" s="46" t="str">
        <x:v>crypto/channel风险</x:v>
      </x:c>
      <x:c r="F5" s="46" t="str">
        <x:v>库存和组件承诺</x:v>
      </x:c>
      <x:c r="G5" s="46" t="str">
        <x:v>无重大公开交易</x:v>
      </x:c>
      <x:c r="H5" s="46" t="str">
        <x:v>公司总收入线性化</x:v>
      </x:c>
      <x:c r="I5" s="46" t="str">
        <x:v>Gaming sell-in/sell-through与DC分开</x:v>
      </x:c>
      <x:c r="J5" s="46" t="str">
        <x:v>校准</x:v>
      </x:c>
      <x:c r="K5" s="46" t="str">
        <x:v>NVDA FY2018–21 10-K</x:v>
      </x:c>
      <x:c r="L5" s="46" t="str">
        <x:v>E0/E1＋E3</x:v>
      </x:c>
    </x:row>
    <x:row r="6" ht="78" customHeight="1">
      <x:c r="A6" s="46" t="str">
        <x:v>FY2019</x:v>
      </x:c>
      <x:c r="B6" s="46" t="n">
        <x:v>11.716</x:v>
      </x:c>
      <x:c r="C6" s="46" t="n">
        <x:v>3.804</x:v>
      </x:c>
      <x:c r="D6" s="46" t="str">
        <x:v>DC成长、Gaming调整</x:v>
      </x:c>
      <x:c r="E6" s="46" t="str">
        <x:v>crypto库存过剩</x:v>
      </x:c>
      <x:c r="F6" s="46" t="str">
        <x:v>采购义务/库存风险</x:v>
      </x:c>
      <x:c r="G6" s="46" t="str">
        <x:v>Mellanox尚未公告</x:v>
      </x:c>
      <x:c r="H6" s="46" t="str">
        <x:v>未来交易倒填或忽略边界</x:v>
      </x:c>
      <x:c r="I6" s="46" t="str">
        <x:v>有机Base＋匿名边界尾部</x:v>
      </x:c>
      <x:c r="J6" s="46" t="str">
        <x:v>90%分布</x:v>
      </x:c>
      <x:c r="K6" s="46" t="str">
        <x:v>NVDA FY2019–22 10-K</x:v>
      </x:c>
      <x:c r="L6" s="46" t="str">
        <x:v>E0/E1＋E3</x:v>
      </x:c>
    </x:row>
    <x:row r="7" ht="78" customHeight="1">
      <x:c r="A7" s="46" t="str">
        <x:v>FY2020</x:v>
      </x:c>
      <x:c r="B7" s="46" t="n">
        <x:v>10.918</x:v>
      </x:c>
      <x:c r="C7" s="46" t="n">
        <x:v>2.846</x:v>
      </x:c>
      <x:c r="D7" s="46" t="str">
        <x:v>DC 29.83亿；平台分化</x:v>
      </x:c>
      <x:c r="E7" s="46" t="str">
        <x:v>Gaming下降/渠道正常化</x:v>
      </x:c>
      <x:c r="F7" s="46" t="str">
        <x:v>foundry/供应约束</x:v>
      </x:c>
      <x:c r="G7" s="46" t="str">
        <x:v>Mellanox已公开待完成</x:v>
      </x:c>
      <x:c r="H7" s="46" t="str">
        <x:v>Gaming与DC共用增长率</x:v>
      </x:c>
      <x:c r="I7" s="46" t="str">
        <x:v>平台＋partial consolidation＋GAAP桥</x:v>
      </x:c>
      <x:c r="J7" s="46" t="str">
        <x:v>伪留出</x:v>
      </x:c>
      <x:c r="K7" s="46" t="str">
        <x:v>NVDA FY2020–23 10-K</x:v>
      </x:c>
      <x:c r="L7" s="46" t="str">
        <x:v>E0/E1＋E3</x:v>
      </x:c>
    </x:row>
    <x:row r="8" ht="78" customHeight="1">
      <x:c r="A8" s="46" t="str">
        <x:v>FY2021</x:v>
      </x:c>
      <x:c r="B8" s="46" t="n">
        <x:v>16.675</x:v>
      </x:c>
      <x:c r="C8" s="46" t="n">
        <x:v>4.532</x:v>
      </x:c>
      <x:c r="D8" s="46" t="str">
        <x:v>Gaming +41%、DC +124%；Mellanox约10%</x:v>
      </x:c>
      <x:c r="E8" s="46" t="str">
        <x:v>后续渠道库存风险</x:v>
      </x:c>
      <x:c r="F8" s="46" t="str">
        <x:v>先进节点/封装/网络承诺</x:v>
      </x:c>
      <x:c r="G8" s="46" t="str">
        <x:v>Arm公开但不确定</x:v>
      </x:c>
      <x:c r="H8" s="46" t="str">
        <x:v>AI线性化或忽略</x:v>
      </x:c>
      <x:c r="I8" s="46" t="str">
        <x:v>普通Base＋渠道下行＋AI尾部</x:v>
      </x:c>
      <x:c r="J8" s="46" t="str">
        <x:v>混合合同</x:v>
      </x:c>
      <x:c r="K8" s="46" t="str">
        <x:v>NVDA FY2021–24 10-K</x:v>
      </x:c>
      <x:c r="L8" s="46" t="str">
        <x:v>E0/E1＋E3</x:v>
      </x:c>
    </x:row>
    <x:row r="9" ht="78" customHeight="1">
      <x:c r="A9" s="46" t="str">
        <x:v>后续实际</x:v>
      </x:c>
      <x:c r="B9" s="46"/>
      <x:c r="C9" s="46"/>
      <x:c r="D9" s="46" t="str">
        <x:v>FY23 Gaming -27%，FY24 DC +217%</x:v>
      </x:c>
      <x:c r="E9" s="46" t="str">
        <x:v>FY23渠道去化后恢复</x:v>
      </x:c>
      <x:c r="F9" s="46" t="str">
        <x:v>H100/Hopper和网络放量</x:v>
      </x:c>
      <x:c r="G9" s="46" t="str">
        <x:v>Arm终止、Mellanox持续</x:v>
      </x:c>
      <x:c r="H9" s="46" t="str">
        <x:v>—</x:v>
      </x:c>
      <x:c r="I9" s="46" t="str">
        <x:v>证明渠道和regime必须并存</x:v>
      </x:c>
      <x:c r="J9" s="46" t="str">
        <x:v>Actual</x:v>
      </x:c>
      <x:c r="K9" s="46" t="str">
        <x:v>NVDA FY2023–25</x:v>
      </x:c>
      <x:c r="L9" s="46" t="str">
        <x:v>E0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37" hidden="0" customWidth="1"/>
    <x:col min="4" max="4" width="33" hidden="0" customWidth="1"/>
    <x:col min="5" max="5" width="32" hidden="0" customWidth="1"/>
    <x:col min="6" max="6" width="18" hidden="0" customWidth="1"/>
    <x:col min="7" max="7" width="34" hidden="0" customWidth="1"/>
    <x:col min="8" max="8" width="21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4" t="str">
        <x:v>NVIDIA平台、渠道、供应与GAAP桥</x:v>
      </x:c>
      <x:c r="B1" s="4" t="str">
        <x:v>NVIDIA平台、渠道、供应与GAAP桥</x:v>
      </x:c>
      <x:c r="C1" s="4" t="str">
        <x:v>NVIDIA平台、渠道、供应与GAAP桥</x:v>
      </x:c>
      <x:c r="D1" s="4" t="str">
        <x:v>NVIDIA平台、渠道、供应与GAAP桥</x:v>
      </x:c>
      <x:c r="E1" s="4" t="str">
        <x:v>NVIDIA平台、渠道、供应与GAAP桥</x:v>
      </x:c>
      <x:c r="F1" s="4" t="str">
        <x:v>NVIDIA平台、渠道、供应与GAAP桥</x:v>
      </x:c>
      <x:c r="G1" s="4" t="str">
        <x:v>NVIDIA平台、渠道、供应与GAAP桥</x:v>
      </x:c>
      <x:c r="H1" s="4" t="str">
        <x:v>NVIDIA平台、渠道、供应与GAAP桥</x:v>
      </x:c>
      <x:c r="I1" s="4" t="str">
        <x:v>NVIDIA平台、渠道、供应与GAAP桥</x:v>
      </x:c>
      <x:c r="J1" s="4" t="str">
        <x:v>NVIDIA平台、渠道、供应与GAAP桥</x:v>
      </x:c>
      <x:c r="K1" s="4" t="str">
        <x:v>NVIDIA平台、渠道、供应与GAAP桥</x:v>
      </x:c>
      <x:c r="L1" s="4" t="str">
        <x:v>NVIDIA平台、渠道、供应与GAAP桥</x:v>
      </x:c>
    </x:row>
    <x:row r="2" ht="35" customHeight="1">
      <x:c r="A2" s="11" t="str">
        <x:v>需求、客户采购、渠道库存和可交付供给不是同一个变量。</x:v>
      </x:c>
      <x:c r="B2" s="11" t="str">
        <x:v>需求、客户采购、渠道库存和可交付供给不是同一个变量。</x:v>
      </x:c>
      <x:c r="C2" s="11" t="str">
        <x:v>需求、客户采购、渠道库存和可交付供给不是同一个变量。</x:v>
      </x:c>
      <x:c r="D2" s="11" t="str">
        <x:v>需求、客户采购、渠道库存和可交付供给不是同一个变量。</x:v>
      </x:c>
      <x:c r="E2" s="11" t="str">
        <x:v>需求、客户采购、渠道库存和可交付供给不是同一个变量。</x:v>
      </x:c>
      <x:c r="F2" s="11" t="str">
        <x:v>需求、客户采购、渠道库存和可交付供给不是同一个变量。</x:v>
      </x:c>
      <x:c r="G2" s="11" t="str">
        <x:v>需求、客户采购、渠道库存和可交付供给不是同一个变量。</x:v>
      </x:c>
      <x:c r="H2" s="11" t="str">
        <x:v>需求、客户采购、渠道库存和可交付供给不是同一个变量。</x:v>
      </x:c>
      <x:c r="I2" s="11" t="str">
        <x:v>需求、客户采购、渠道库存和可交付供给不是同一个变量。</x:v>
      </x:c>
      <x:c r="J2" s="11" t="str">
        <x:v>需求、客户采购、渠道库存和可交付供给不是同一个变量。</x:v>
      </x:c>
      <x:c r="K2" s="11" t="str">
        <x:v>需求、客户采购、渠道库存和可交付供给不是同一个变量。</x:v>
      </x:c>
      <x:c r="L2" s="11" t="str">
        <x:v>需求、客户采购、渠道库存和可交付供给不是同一个变量。</x:v>
      </x:c>
    </x:row>
    <x:row r="4" ht="28" customHeight="1">
      <x:c r="A4" s="24" t="str">
        <x:v>模块</x:v>
      </x:c>
      <x:c r="B4" s="24" t="str">
        <x:v>核心公式/检查</x:v>
      </x:c>
      <x:c r="C4" s="24" t="str">
        <x:v>事实输入</x:v>
      </x:c>
      <x:c r="D4" s="24" t="str">
        <x:v>分析师输入</x:v>
      </x:c>
      <x:c r="E4" s="24" t="str">
        <x:v>输出</x:v>
      </x:c>
      <x:c r="F4" s="24" t="str">
        <x:v>Human-required</x:v>
      </x:c>
      <x:c r="G4" s="24" t="str">
        <x:v>风险</x:v>
      </x:c>
      <x:c r="H4" s="24" t="str">
        <x:v>作用域</x:v>
      </x:c>
    </x:row>
    <x:row r="5" ht="47" customHeight="1">
      <x:c r="A5" s="46" t="str">
        <x:v>平台收入</x:v>
      </x:c>
      <x:c r="B5" s="46" t="str">
        <x:v>Σ平台units×ASP×mix×share</x:v>
      </x:c>
      <x:c r="C5" s="46" t="str">
        <x:v>Gaming/DC/ProViz/Auto/OEM</x:v>
      </x:c>
      <x:c r="D5" s="46" t="str">
        <x:v>平台代际/客户部署</x:v>
      </x:c>
      <x:c r="E5" s="46" t="str">
        <x:v>分平台收入</x:v>
      </x:c>
      <x:c r="F5" s="46" t="str">
        <x:v>部分</x:v>
      </x:c>
      <x:c r="G5" s="46" t="str">
        <x:v>双算网络</x:v>
      </x:c>
      <x:c r="H5" s="46" t="str">
        <x:v>compute</x:v>
      </x:c>
    </x:row>
    <x:row r="6" ht="47" customHeight="1">
      <x:c r="A6" s="46" t="str">
        <x:v>渠道桥</x:v>
      </x:c>
      <x:c r="B6" s="46" t="str">
        <x:v>Sell-through＋渠道库存变化=Sell-in</x:v>
      </x:c>
      <x:c r="C6" s="46" t="str">
        <x:v>渠道评论/库存/促销</x:v>
      </x:c>
      <x:c r="D6" s="46" t="str">
        <x:v>weeks inventory</x:v>
      </x:c>
      <x:c r="E6" s="46" t="str">
        <x:v>确认收入</x:v>
      </x:c>
      <x:c r="F6" s="46" t="str">
        <x:v>是</x:v>
      </x:c>
      <x:c r="G6" s="46" t="str">
        <x:v>终端弱但sell-in高</x:v>
      </x:c>
      <x:c r="H6" s="46" t="str">
        <x:v>Gaming</x:v>
      </x:c>
    </x:row>
    <x:row r="7" ht="47" customHeight="1">
      <x:c r="A7" s="46" t="str">
        <x:v>DC客户桥</x:v>
      </x:c>
      <x:c r="B7" s="46" t="str">
        <x:v>客户部署×每系统内容×share</x:v>
      </x:c>
      <x:c r="C7" s="46" t="str">
        <x:v>客户CapEx/配置</x:v>
      </x:c>
      <x:c r="D7" s="46" t="str">
        <x:v>部署时点/份额</x:v>
      </x:c>
      <x:c r="E7" s="46" t="str">
        <x:v>收入校验</x:v>
      </x:c>
      <x:c r="F7" s="46" t="str">
        <x:v>是</x:v>
      </x:c>
      <x:c r="G7" s="46" t="str">
        <x:v>平台需求当订单</x:v>
      </x:c>
      <x:c r="H7" s="46" t="str">
        <x:v>AI/DC</x:v>
      </x:c>
    </x:row>
    <x:row r="8" ht="47" customHeight="1">
      <x:c r="A8" s="46" t="str">
        <x:v>供给桥</x:v>
      </x:c>
      <x:c r="B8" s="46" t="str">
        <x:v>需求∧foundry∧封装∧HBM∧网络</x:v>
      </x:c>
      <x:c r="C8" s="46" t="str">
        <x:v>承诺/库存/供应评论</x:v>
      </x:c>
      <x:c r="D8" s="46" t="str">
        <x:v>可交付比例</x:v>
      </x:c>
      <x:c r="E8" s="46" t="str">
        <x:v>出货上限</x:v>
      </x:c>
      <x:c r="F8" s="46" t="str">
        <x:v>是</x:v>
      </x:c>
      <x:c r="G8" s="46" t="str">
        <x:v>需求无供给</x:v>
      </x:c>
      <x:c r="H8" s="46" t="str">
        <x:v>fabless</x:v>
      </x:c>
    </x:row>
    <x:row r="9" ht="47" customHeight="1">
      <x:c r="A9" s="46" t="str">
        <x:v>采购义务</x:v>
      </x:c>
      <x:c r="B9" s="46" t="str">
        <x:v>承诺×价格×可取消性×需求风险</x:v>
      </x:c>
      <x:c r="C9" s="46" t="str">
        <x:v>10-K commitments</x:v>
      </x:c>
      <x:c r="D9" s="46" t="str">
        <x:v>减值概率</x:v>
      </x:c>
      <x:c r="E9" s="46" t="str">
        <x:v>库存/费用尾部</x:v>
      </x:c>
      <x:c r="F9" s="46" t="str">
        <x:v>是</x:v>
      </x:c>
      <x:c r="G9" s="46" t="str">
        <x:v>过度承诺</x:v>
      </x:c>
      <x:c r="H9" s="46" t="str">
        <x:v>fabless</x:v>
      </x:c>
    </x:row>
    <x:row r="10" ht="47" customHeight="1">
      <x:c r="A10" s="46" t="str">
        <x:v>企业边界</x:v>
      </x:c>
      <x:c r="B10" s="46" t="str">
        <x:v>organic＋公开交易×close/consolidation</x:v>
      </x:c>
      <x:c r="C10" s="46" t="str">
        <x:v>公告/目标财务</x:v>
      </x:c>
      <x:c r="D10" s="46" t="str">
        <x:v>协同/partial year</x:v>
      </x:c>
      <x:c r="E10" s="46" t="str">
        <x:v>报告收入</x:v>
      </x:c>
      <x:c r="F10" s="46" t="str">
        <x:v>是</x:v>
      </x:c>
      <x:c r="G10" s="46" t="str">
        <x:v>未来交易倒填</x:v>
      </x:c>
      <x:c r="H10" s="46" t="str">
        <x:v>M&amp;A</x:v>
      </x:c>
    </x:row>
    <x:row r="11" ht="47" customHeight="1">
      <x:c r="A11" s="46" t="str">
        <x:v>GAAP桥</x:v>
      </x:c>
      <x:c r="B11" s="46" t="str">
        <x:v>毛利－R&amp;D/SG&amp;A－SBC－摊销－step-up－终止费</x:v>
      </x:c>
      <x:c r="C11" s="46" t="str">
        <x:v>法定报表</x:v>
      </x:c>
      <x:c r="D11" s="46" t="str">
        <x:v>正常化调整</x:v>
      </x:c>
      <x:c r="E11" s="46" t="str">
        <x:v>GAAP OI</x:v>
      </x:c>
      <x:c r="F11" s="46" t="str">
        <x:v>部分</x:v>
      </x:c>
      <x:c r="G11" s="46" t="str">
        <x:v>只报non-GAAP</x:v>
      </x:c>
      <x:c r="H11" s="46" t="str">
        <x:v>platform</x:v>
      </x:c>
    </x:row>
    <x:row r="12" ht="47" customHeight="1">
      <x:c r="A12" s="46" t="str">
        <x:v>制度切换</x:v>
      </x:c>
      <x:c r="B12" s="46" t="str">
        <x:v>普通Base＋channel downside＋AI tail</x:v>
      </x:c>
      <x:c r="C12" s="46" t="str">
        <x:v>E0/E1 adoption/supply</x:v>
      </x:c>
      <x:c r="D12" s="46" t="str">
        <x:v>概率/区间</x:v>
      </x:c>
      <x:c r="E12" s="46" t="str">
        <x:v>三年分布</x:v>
      </x:c>
      <x:c r="F12" s="46" t="str">
        <x:v>是</x:v>
      </x:c>
      <x:c r="G12" s="46" t="str">
        <x:v>事后把AI写入Base</x:v>
      </x:c>
      <x:c r="H12" s="46" t="str">
        <x:v>convex</x:v>
      </x:c>
    </x:row>
    <x:row r="14" ht="21" customHeight="1">
      <x:c r="A14" s="17" t="str">
        <x:v>市场平台和周期状态</x:v>
      </x:c>
      <x:c r="B14" s="17" t="str">
        <x:v>市场平台和周期状态</x:v>
      </x:c>
      <x:c r="C14" s="17" t="str">
        <x:v>市场平台和周期状态</x:v>
      </x:c>
      <x:c r="D14" s="17" t="str">
        <x:v>市场平台和周期状态</x:v>
      </x:c>
      <x:c r="E14" s="17" t="str">
        <x:v>市场平台和周期状态</x:v>
      </x:c>
      <x:c r="F14" s="17" t="str">
        <x:v>市场平台和周期状态</x:v>
      </x:c>
      <x:c r="G14" s="17" t="str">
        <x:v>市场平台和周期状态</x:v>
      </x:c>
      <x:c r="H14" s="17" t="str">
        <x:v>市场平台和周期状态</x:v>
      </x:c>
      <x:c r="I14" s="17" t="str">
        <x:v>市场平台和周期状态</x:v>
      </x:c>
      <x:c r="J14" s="17" t="str">
        <x:v>市场平台和周期状态</x:v>
      </x:c>
      <x:c r="K14" s="17" t="str">
        <x:v>市场平台和周期状态</x:v>
      </x:c>
      <x:c r="L14" s="17" t="str">
        <x:v>市场平台和周期状态</x:v>
      </x:c>
    </x:row>
    <x:row r="15" ht="28" customHeight="1">
      <x:c r="A15" s="24" t="str">
        <x:v>状态</x:v>
      </x:c>
      <x:c r="B15" s="24" t="str">
        <x:v>Gaming</x:v>
      </x:c>
      <x:c r="C15" s="24" t="str">
        <x:v>Data Center</x:v>
      </x:c>
      <x:c r="D15" s="24" t="str">
        <x:v>供给</x:v>
      </x:c>
      <x:c r="E15" s="24" t="str">
        <x:v>利润处理</x:v>
      </x:c>
      <x:c r="F15" s="24" t="str">
        <x:v>输出</x:v>
      </x:c>
    </x:row>
    <x:row r="16" ht="41" customHeight="1">
      <x:c r="A16" s="46" t="str">
        <x:v>渠道积累</x:v>
      </x:c>
      <x:c r="B16" s="46" t="str">
        <x:v>sell-in&gt;sell-through</x:v>
      </x:c>
      <x:c r="C16" s="46" t="str">
        <x:v>可能独立增长</x:v>
      </x:c>
      <x:c r="D16" s="46" t="str">
        <x:v>库存/采购升</x:v>
      </x:c>
      <x:c r="E16" s="46" t="str">
        <x:v>准备减值/促销</x:v>
      </x:c>
      <x:c r="F16" s="46" t="str">
        <x:v>下行情景</x:v>
      </x:c>
    </x:row>
    <x:row r="17" ht="41" customHeight="1">
      <x:c r="A17" s="46" t="str">
        <x:v>渠道去化</x:v>
      </x:c>
      <x:c r="B17" s="46" t="str">
        <x:v>sell-in&lt;终端需求</x:v>
      </x:c>
      <x:c r="C17" s="46" t="str">
        <x:v>可继续增长</x:v>
      </x:c>
      <x:c r="D17" s="46" t="str">
        <x:v>产能转移有限</x:v>
      </x:c>
      <x:c r="E17" s="46" t="str">
        <x:v>毛利/费用压力</x:v>
      </x:c>
      <x:c r="F17" s="46" t="str">
        <x:v>1–2年Base</x:v>
      </x:c>
    </x:row>
    <x:row r="18" ht="41" customHeight="1">
      <x:c r="A18" s="46" t="str">
        <x:v>正常扩张</x:v>
      </x:c>
      <x:c r="B18" s="46" t="str">
        <x:v>sell-in≈sell-through</x:v>
      </x:c>
      <x:c r="C18" s="46" t="str">
        <x:v>客户部署增长</x:v>
      </x:c>
      <x:c r="D18" s="46" t="str">
        <x:v>供给匹配</x:v>
      </x:c>
      <x:c r="E18" s="46" t="str">
        <x:v>正常mix</x:v>
      </x:c>
      <x:c r="F18" s="46" t="str">
        <x:v>点值</x:v>
      </x:c>
    </x:row>
    <x:row r="19" ht="41" customHeight="1">
      <x:c r="A19" s="46" t="str">
        <x:v>供应约束</x:v>
      </x:c>
      <x:c r="B19" s="46" t="str">
        <x:v>终端需求强</x:v>
      </x:c>
      <x:c r="C19" s="46" t="str">
        <x:v>AI需求高于交付</x:v>
      </x:c>
      <x:c r="D19" s="46" t="str">
        <x:v>foundry/HBM/CoWoS瓶颈</x:v>
      </x:c>
      <x:c r="E19" s="46" t="str">
        <x:v>高ASP但承诺风险</x:v>
      </x:c>
      <x:c r="F19" s="46" t="str">
        <x:v>交付上限</x:v>
      </x:c>
    </x:row>
    <x:row r="20" ht="41" customHeight="1">
      <x:c r="A20" s="46" t="str">
        <x:v>AI制度切换</x:v>
      </x:c>
      <x:c r="B20" s="46" t="str">
        <x:v>传统与AI分化</x:v>
      </x:c>
      <x:c r="C20" s="46" t="str">
        <x:v>多客户/多产品加速</x:v>
      </x:c>
      <x:c r="D20" s="46" t="str">
        <x:v>大规模承诺</x:v>
      </x:c>
      <x:c r="E20" s="46" t="str">
        <x:v>mix/margin跃迁</x:v>
      </x:c>
      <x:c r="F20" s="46" t="str">
        <x:v>离散tail</x:v>
      </x:c>
    </x:row>
    <x:row r="21" ht="41" customHeight="1">
      <x:c r="A21" s="46" t="str">
        <x:v>成熟/竞争</x:v>
      </x:c>
      <x:c r="B21" s="46" t="str">
        <x:v>增长正常化</x:v>
      </x:c>
      <x:c r="C21" s="46" t="str">
        <x:v>客户自研和竞争</x:v>
      </x:c>
      <x:c r="D21" s="46" t="str">
        <x:v>供给充足</x:v>
      </x:c>
      <x:c r="E21" s="46" t="str">
        <x:v>正常化margin</x:v>
      </x:c>
      <x:c r="F21" s="46" t="str">
        <x:v>终值</x:v>
      </x:c>
    </x:row>
  </x:sheetData>
  <x:mergeCells>
    <x:mergeCell ref="A1:L1"/>
    <x:mergeCell ref="A2:L2"/>
    <x:mergeCell ref="A14:L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32" hidden="0" customWidth="1"/>
    <x:col min="4" max="4" width="20" hidden="0" customWidth="1"/>
    <x:col min="5" max="5" width="12" hidden="0" customWidth="1"/>
    <x:col min="6" max="6" width="12" hidden="0" customWidth="1"/>
    <x:col min="7" max="7" width="8" hidden="0" customWidth="1"/>
    <x:col min="8" max="8" width="15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6" hidden="0" customWidth="1"/>
    <x:col min="19" max="19" width="16" hidden="0" customWidth="1"/>
    <x:col min="20" max="20" width="12" hidden="0" customWidth="1"/>
    <x:col min="21" max="21" width="12" hidden="0" customWidth="1"/>
    <x:col min="22" max="22" width="15" hidden="0" customWidth="1"/>
    <x:col min="23" max="23" width="15" hidden="0" customWidth="1"/>
    <x:col min="24" max="24" width="17" hidden="0" customWidth="1"/>
    <x:col min="25" max="25" width="17" hidden="0" customWidth="1"/>
    <x:col min="26" max="26" width="11" hidden="0" customWidth="1"/>
    <x:col min="27" max="27" width="12" hidden="0" customWidth="1"/>
    <x:col min="28" max="28" width="12" hidden="0" customWidth="1"/>
    <x:col min="29" max="29" width="43" hidden="0" customWidth="1"/>
    <x:col min="30" max="30" width="49" hidden="0" customWidth="1"/>
    <x:col min="31" max="31" width="8" hidden="0" customWidth="1"/>
    <x:col min="32" max="32" width="8" hidden="0" customWidth="1"/>
  </x:cols>
  <x:sheetData>
    <x:row r="1" ht="28" customHeight="1">
      <x:c r="A1" s="4" t="str">
        <x:v>预测明细：Netflix与NVIDIA</x:v>
      </x:c>
      <x:c r="B1" s="4" t="str">
        <x:v>预测明细：Netflix与NVIDIA</x:v>
      </x:c>
      <x:c r="C1" s="4" t="str">
        <x:v>预测明细：Netflix与NVIDIA</x:v>
      </x:c>
      <x:c r="D1" s="4" t="str">
        <x:v>预测明细：Netflix与NVIDIA</x:v>
      </x:c>
      <x:c r="E1" s="4" t="str">
        <x:v>预测明细：Netflix与NVIDIA</x:v>
      </x:c>
      <x:c r="F1" s="4" t="str">
        <x:v>预测明细：Netflix与NVIDIA</x:v>
      </x:c>
      <x:c r="G1" s="4" t="str">
        <x:v>预测明细：Netflix与NVIDIA</x:v>
      </x:c>
      <x:c r="H1" s="4" t="str">
        <x:v>预测明细：Netflix与NVIDIA</x:v>
      </x:c>
      <x:c r="I1" s="4" t="str">
        <x:v>预测明细：Netflix与NVIDIA</x:v>
      </x:c>
      <x:c r="J1" s="4" t="str">
        <x:v>预测明细：Netflix与NVIDIA</x:v>
      </x:c>
      <x:c r="K1" s="4" t="str">
        <x:v>预测明细：Netflix与NVIDIA</x:v>
      </x:c>
      <x:c r="L1" s="4" t="str">
        <x:v>预测明细：Netflix与NVIDIA</x:v>
      </x:c>
      <x:c r="M1" s="4" t="str">
        <x:v>预测明细：Netflix与NVIDIA</x:v>
      </x:c>
      <x:c r="N1" s="4" t="str">
        <x:v>预测明细：Netflix与NVIDIA</x:v>
      </x:c>
      <x:c r="O1" s="4" t="str">
        <x:v>预测明细：Netflix与NVIDIA</x:v>
      </x:c>
      <x:c r="P1" s="4" t="str">
        <x:v>预测明细：Netflix与NVIDIA</x:v>
      </x:c>
      <x:c r="Q1" s="4" t="str">
        <x:v>预测明细：Netflix与NVIDIA</x:v>
      </x:c>
      <x:c r="R1" s="4" t="str">
        <x:v>预测明细：Netflix与NVIDIA</x:v>
      </x:c>
      <x:c r="S1" s="4" t="str">
        <x:v>预测明细：Netflix与NVIDIA</x:v>
      </x:c>
      <x:c r="T1" s="4" t="str">
        <x:v>预测明细：Netflix与NVIDIA</x:v>
      </x:c>
      <x:c r="U1" s="4" t="str">
        <x:v>预测明细：Netflix与NVIDIA</x:v>
      </x:c>
      <x:c r="V1" s="4" t="str">
        <x:v>预测明细：Netflix与NVIDIA</x:v>
      </x:c>
      <x:c r="W1" s="4" t="str">
        <x:v>预测明细：Netflix与NVIDIA</x:v>
      </x:c>
      <x:c r="X1" s="4" t="str">
        <x:v>预测明细：Netflix与NVIDIA</x:v>
      </x:c>
      <x:c r="Y1" s="4" t="str">
        <x:v>预测明细：Netflix与NVIDIA</x:v>
      </x:c>
      <x:c r="Z1" s="4" t="str">
        <x:v>预测明细：Netflix与NVIDIA</x:v>
      </x:c>
      <x:c r="AA1" s="4" t="str">
        <x:v>预测明细：Netflix与NVIDIA</x:v>
      </x:c>
      <x:c r="AB1" s="4" t="str">
        <x:v>预测明细：Netflix与NVIDIA</x:v>
      </x:c>
      <x:c r="AC1" s="4" t="str">
        <x:v>预测明细：Netflix与NVIDIA</x:v>
      </x:c>
      <x:c r="AD1" s="4" t="str">
        <x:v>预测明细：Netflix与NVIDIA</x:v>
      </x:c>
      <x:c r="AE1" s="4" t="str">
        <x:v>预测明细：Netflix与NVIDIA</x:v>
      </x:c>
      <x:c r="AF1" s="4" t="str">
        <x:v>预测明细：Netflix与NVIDIA</x:v>
      </x:c>
    </x:row>
    <x:row r="2" ht="35" customHeight="1">
      <x:c r="A2" s="11" t="str">
        <x:v>绿色Actual；蓝字预测。非point-evaluable年份只评价分布。</x:v>
      </x:c>
      <x:c r="B2" s="11" t="str">
        <x:v>绿色Actual；蓝字预测。非point-evaluable年份只评价分布。</x:v>
      </x:c>
      <x:c r="C2" s="11" t="str">
        <x:v>绿色Actual；蓝字预测。非point-evaluable年份只评价分布。</x:v>
      </x:c>
      <x:c r="D2" s="11" t="str">
        <x:v>绿色Actual；蓝字预测。非point-evaluable年份只评价分布。</x:v>
      </x:c>
      <x:c r="E2" s="11" t="str">
        <x:v>绿色Actual；蓝字预测。非point-evaluable年份只评价分布。</x:v>
      </x:c>
      <x:c r="F2" s="11" t="str">
        <x:v>绿色Actual；蓝字预测。非point-evaluable年份只评价分布。</x:v>
      </x:c>
      <x:c r="G2" s="11" t="str">
        <x:v>绿色Actual；蓝字预测。非point-evaluable年份只评价分布。</x:v>
      </x:c>
      <x:c r="H2" s="11" t="str">
        <x:v>绿色Actual；蓝字预测。非point-evaluable年份只评价分布。</x:v>
      </x:c>
      <x:c r="I2" s="11" t="str">
        <x:v>绿色Actual；蓝字预测。非point-evaluable年份只评价分布。</x:v>
      </x:c>
      <x:c r="J2" s="11" t="str">
        <x:v>绿色Actual；蓝字预测。非point-evaluable年份只评价分布。</x:v>
      </x:c>
      <x:c r="K2" s="11" t="str">
        <x:v>绿色Actual；蓝字预测。非point-evaluable年份只评价分布。</x:v>
      </x:c>
      <x:c r="L2" s="11" t="str">
        <x:v>绿色Actual；蓝字预测。非point-evaluable年份只评价分布。</x:v>
      </x:c>
      <x:c r="M2" s="11" t="str">
        <x:v>绿色Actual；蓝字预测。非point-evaluable年份只评价分布。</x:v>
      </x:c>
      <x:c r="N2" s="11" t="str">
        <x:v>绿色Actual；蓝字预测。非point-evaluable年份只评价分布。</x:v>
      </x:c>
      <x:c r="O2" s="11" t="str">
        <x:v>绿色Actual；蓝字预测。非point-evaluable年份只评价分布。</x:v>
      </x:c>
      <x:c r="P2" s="11" t="str">
        <x:v>绿色Actual；蓝字预测。非point-evaluable年份只评价分布。</x:v>
      </x:c>
      <x:c r="Q2" s="11" t="str">
        <x:v>绿色Actual；蓝字预测。非point-evaluable年份只评价分布。</x:v>
      </x:c>
      <x:c r="R2" s="11" t="str">
        <x:v>绿色Actual；蓝字预测。非point-evaluable年份只评价分布。</x:v>
      </x:c>
      <x:c r="S2" s="11" t="str">
        <x:v>绿色Actual；蓝字预测。非point-evaluable年份只评价分布。</x:v>
      </x:c>
      <x:c r="T2" s="11" t="str">
        <x:v>绿色Actual；蓝字预测。非point-evaluable年份只评价分布。</x:v>
      </x:c>
      <x:c r="U2" s="11" t="str">
        <x:v>绿色Actual；蓝字预测。非point-evaluable年份只评价分布。</x:v>
      </x:c>
      <x:c r="V2" s="11" t="str">
        <x:v>绿色Actual；蓝字预测。非point-evaluable年份只评价分布。</x:v>
      </x:c>
      <x:c r="W2" s="11" t="str">
        <x:v>绿色Actual；蓝字预测。非point-evaluable年份只评价分布。</x:v>
      </x:c>
      <x:c r="X2" s="11" t="str">
        <x:v>绿色Actual；蓝字预测。非point-evaluable年份只评价分布。</x:v>
      </x:c>
      <x:c r="Y2" s="11" t="str">
        <x:v>绿色Actual；蓝字预测。非point-evaluable年份只评价分布。</x:v>
      </x:c>
      <x:c r="Z2" s="11" t="str">
        <x:v>绿色Actual；蓝字预测。非point-evaluable年份只评价分布。</x:v>
      </x:c>
      <x:c r="AA2" s="11" t="str">
        <x:v>绿色Actual；蓝字预测。非point-evaluable年份只评价分布。</x:v>
      </x:c>
      <x:c r="AB2" s="11" t="str">
        <x:v>绿色Actual；蓝字预测。非point-evaluable年份只评价分布。</x:v>
      </x:c>
      <x:c r="AC2" s="11" t="str">
        <x:v>绿色Actual；蓝字预测。非point-evaluable年份只评价分布。</x:v>
      </x:c>
      <x:c r="AD2" s="11" t="str">
        <x:v>绿色Actual；蓝字预测。非point-evaluable年份只评价分布。</x:v>
      </x:c>
      <x:c r="AE2" s="11" t="str">
        <x:v>绿色Actual；蓝字预测。非point-evaluable年份只评价分布。</x:v>
      </x:c>
      <x:c r="AF2" s="11" t="str">
        <x:v>绿色Actual；蓝字预测。非point-evaluable年份只评价分布。</x:v>
      </x:c>
    </x:row>
    <x:row r="4" ht="28" customHeight="1">
      <x:c r="A4" s="24" t="str">
        <x:v>公司</x:v>
      </x:c>
      <x:c r="B4" s="24" t="str">
        <x:v>数据组</x:v>
      </x:c>
      <x:c r="C4" s="24" t="str">
        <x:v>合同</x:v>
      </x:c>
      <x:c r="D4" s="24" t="str">
        <x:v>案例</x:v>
      </x:c>
      <x:c r="E4" s="24" t="str">
        <x:v>截面</x:v>
      </x:c>
      <x:c r="F4" s="24" t="str">
        <x:v>目标</x:v>
      </x:c>
      <x:c r="G4" s="24" t="str">
        <x:v>期限</x:v>
      </x:c>
      <x:c r="H4" s="24" t="str">
        <x:v>指标</x:v>
      </x:c>
      <x:c r="I4" s="24" t="str">
        <x:v>Actual</x:v>
      </x:c>
      <x:c r="J4" s="24" t="str">
        <x:v>旧点值</x:v>
      </x:c>
      <x:c r="K4" s="24" t="str">
        <x:v>新点值</x:v>
      </x:c>
      <x:c r="L4" s="24" t="str">
        <x:v>旧低</x:v>
      </x:c>
      <x:c r="M4" s="24" t="str">
        <x:v>旧高</x:v>
      </x:c>
      <x:c r="N4" s="24" t="str">
        <x:v>新低</x:v>
      </x:c>
      <x:c r="O4" s="24" t="str">
        <x:v>新高</x:v>
      </x:c>
      <x:c r="P4" s="24" t="str">
        <x:v>旧点误差</x:v>
      </x:c>
      <x:c r="Q4" s="24" t="str">
        <x:v>新点误差</x:v>
      </x:c>
      <x:c r="R4" s="24" t="str">
        <x:v>旧利润率误差pp</x:v>
      </x:c>
      <x:c r="S4" s="24" t="str">
        <x:v>新利润率误差pp</x:v>
      </x:c>
      <x:c r="T4" s="24" t="str">
        <x:v>旧命中</x:v>
      </x:c>
      <x:c r="U4" s="24" t="str">
        <x:v>新命中</x:v>
      </x:c>
      <x:c r="V4" s="24" t="str">
        <x:v>旧分数</x:v>
      </x:c>
      <x:c r="W4" s="24" t="str">
        <x:v>新分数</x:v>
      </x:c>
      <x:c r="X4" s="24" t="str">
        <x:v>旧方向/符号</x:v>
      </x:c>
      <x:c r="Y4" s="24" t="str">
        <x:v>新方向/符号</x:v>
      </x:c>
      <x:c r="Z4" s="24" t="str">
        <x:v>置信</x:v>
      </x:c>
      <x:c r="AA4" s="24" t="str">
        <x:v>Point gate</x:v>
      </x:c>
      <x:c r="AB4" s="24" t="str">
        <x:v>Human</x:v>
      </x:c>
      <x:c r="AC4" s="24" t="str">
        <x:v>来源ID</x:v>
      </x:c>
      <x:c r="AD4" s="24" t="str">
        <x:v>说明</x:v>
      </x:c>
      <x:c r="AE4" s="24" t="str">
        <x:v>保留1</x:v>
      </x:c>
      <x:c r="AF4" s="24" t="str">
        <x:v>保留2</x:v>
      </x:c>
    </x:row>
    <x:row r="5" ht="23" customHeight="1">
      <x:c r="A5" t="str">
        <x:v>Netflix</x:v>
      </x:c>
      <x:c r="B5" t="str">
        <x:v>校准</x:v>
      </x:c>
      <x:c r="C5" t="str">
        <x:v>point-and-interval</x:v>
      </x:c>
      <x:c r="D5" t="str">
        <x:v>NFLX@FY2014</x:v>
      </x:c>
      <x:c r="E5" t="str">
        <x:v>FY2014</x:v>
      </x:c>
      <x:c r="F5" t="str">
        <x:v>FY2015</x:v>
      </x:c>
      <x:c r="G5" t="n">
        <x:v>1</x:v>
      </x:c>
      <x:c r="H5" t="str">
        <x:v>营业收入</x:v>
      </x:c>
      <x:c r="I5" s="63" t="n">
        <x:v>6.779511</x:v>
      </x:c>
      <x:c r="J5" s="67" t="n">
        <x:v>6.7</x:v>
      </x:c>
      <x:c r="K5" s="67" t="n">
        <x:v>6.75</x:v>
      </x:c>
      <x:c r="L5" s="67" t="n">
        <x:v>6.03</x:v>
      </x:c>
      <x:c r="M5" s="67" t="n">
        <x:v>7.370000000000001</x:v>
      </x:c>
      <x:c r="N5" s="67" t="n">
        <x:v>6.21</x:v>
      </x:c>
      <x:c r="O5" s="67" t="n">
        <x:v>7.290000000000001</x:v>
      </x:c>
      <x:c r="P5" s="56" t="n">
        <x:v>0.01172813201424116</x:v>
      </x:c>
      <x:c r="Q5" s="56" t="n">
        <x:v>0.004352968820317614</x:v>
      </x:c>
      <x:c r="R5" s="58"/>
      <x:c r="S5" s="58"/>
      <x:c r="T5" t="str">
        <x:v>是</x:v>
      </x:c>
      <x:c r="U5" t="str">
        <x:v>是</x:v>
      </x:c>
      <x:c r="V5" s="70" t="n">
        <x:v>0.19765437359715188</x:v>
      </x:c>
      <x:c r="W5" s="70" t="n">
        <x:v>0.15930352498874933</x:v>
      </x:c>
      <x:c r="X5" t="str">
        <x:v>正确</x:v>
      </x:c>
      <x:c r="Y5" t="str">
        <x:v>正确</x:v>
      </x:c>
      <x:c r="Z5" t="str">
        <x:v>80%</x:v>
      </x:c>
      <x:c r="AA5" t="str">
        <x:v>True</x:v>
      </x:c>
      <x:c r="AB5" t="str">
        <x:v>True</x:v>
      </x:c>
      <x:c r="AC5" t="str">
        <x:v>NFLX_2014_10K / NFLX_2015_10K / NFLX_2016_10K / NFLX_2017_10K</x:v>
      </x:c>
      <x:c r="AD5" t="str">
        <x:v>Domestic and international cohorts had different maturity and contribution economics. Net additions alone were insufficient; content cash exceeded amortization.</x:v>
      </x:c>
      <x:c r="AE5"/>
      <x:c r="AF5"/>
    </x:row>
    <x:row r="6" ht="23" customHeight="1">
      <x:c r="A6" t="str">
        <x:v>Netflix</x:v>
      </x:c>
      <x:c r="B6" t="str">
        <x:v>校准</x:v>
      </x:c>
      <x:c r="C6" t="str">
        <x:v>point-and-interval</x:v>
      </x:c>
      <x:c r="D6" t="str">
        <x:v>NFLX@FY2014</x:v>
      </x:c>
      <x:c r="E6" t="str">
        <x:v>FY2014</x:v>
      </x:c>
      <x:c r="F6" t="str">
        <x:v>FY2015</x:v>
      </x:c>
      <x:c r="G6" t="n">
        <x:v>1</x:v>
      </x:c>
      <x:c r="H6" t="str">
        <x:v>营业利润</x:v>
      </x:c>
      <x:c r="I6" s="63" t="n">
        <x:v>0.305826</x:v>
      </x:c>
      <x:c r="J6" s="67" t="n">
        <x:v>0.45</x:v>
      </x:c>
      <x:c r="K6" s="67" t="n">
        <x:v>0.32</x:v>
      </x:c>
      <x:c r="L6" s="67" t="n">
        <x:v>0.182</x:v>
      </x:c>
      <x:c r="M6" s="67" t="n">
        <x:v>0.718</x:v>
      </x:c>
      <x:c r="N6" s="67" t="n">
        <x:v>0.185</x:v>
      </x:c>
      <x:c r="O6" s="67" t="n">
        <x:v>0.455</x:v>
      </x:c>
      <x:c r="P6" s="56"/>
      <x:c r="Q6" s="56"/>
      <x:c r="R6" s="58" t="n">
        <x:v>2.20538459255802</x:v>
      </x:c>
      <x:c r="S6" s="58" t="n">
        <x:v>0.22970742285099918</x:v>
      </x:c>
      <x:c r="T6" t="str">
        <x:v>是</x:v>
      </x:c>
      <x:c r="U6" t="str">
        <x:v>是</x:v>
      </x:c>
      <x:c r="V6" s="70" t="n">
        <x:v>0.07906174943886071</x:v>
      </x:c>
      <x:c r="W6" s="70" t="n">
        <x:v>0.0398258812471873</x:v>
      </x:c>
      <x:c r="X6" t="str">
        <x:v>正确</x:v>
      </x:c>
      <x:c r="Y6" t="str">
        <x:v>正确</x:v>
      </x:c>
      <x:c r="Z6" t="str">
        <x:v>80%</x:v>
      </x:c>
      <x:c r="AA6" t="str">
        <x:v>True</x:v>
      </x:c>
      <x:c r="AB6" t="str">
        <x:v>True</x:v>
      </x:c>
      <x:c r="AC6" t="str">
        <x:v>NFLX_2014_10K / NFLX_2015_10K / NFLX_2016_10K / NFLX_2017_10K</x:v>
      </x:c>
      <x:c r="AD6" t="str">
        <x:v>Domestic and international cohorts had different maturity and contribution economics. Net additions alone were insufficient; content cash exceeded amortization.</x:v>
      </x:c>
      <x:c r="AE6"/>
      <x:c r="AF6"/>
    </x:row>
    <x:row r="7" ht="23" customHeight="1">
      <x:c r="A7" t="str">
        <x:v>Netflix</x:v>
      </x:c>
      <x:c r="B7" t="str">
        <x:v>校准</x:v>
      </x:c>
      <x:c r="C7" t="str">
        <x:v>point-and-interval</x:v>
      </x:c>
      <x:c r="D7" t="str">
        <x:v>NFLX@FY2014</x:v>
      </x:c>
      <x:c r="E7" t="str">
        <x:v>FY2014</x:v>
      </x:c>
      <x:c r="F7" t="str">
        <x:v>FY2016</x:v>
      </x:c>
      <x:c r="G7" t="n">
        <x:v>2</x:v>
      </x:c>
      <x:c r="H7" t="str">
        <x:v>营业收入</x:v>
      </x:c>
      <x:c r="I7" s="63" t="n">
        <x:v>8.830669</x:v>
      </x:c>
      <x:c r="J7" s="67" t="n">
        <x:v>8</x:v>
      </x:c>
      <x:c r="K7" s="67" t="n">
        <x:v>8.6</x:v>
      </x:c>
      <x:c r="L7" s="67" t="n">
        <x:v>6.5600000000000005</x:v>
      </x:c>
      <x:c r="M7" s="67" t="n">
        <x:v>9.44</x:v>
      </x:c>
      <x:c r="N7" s="67" t="n">
        <x:v>7.568</x:v>
      </x:c>
      <x:c r="O7" s="67" t="n">
        <x:v>9.632</x:v>
      </x:c>
      <x:c r="P7" s="56" t="n">
        <x:v>0.0940663725477651</x:v>
      </x:c>
      <x:c r="Q7" s="56" t="n">
        <x:v>0.026121350488847523</x:v>
      </x:c>
      <x:c r="R7" s="58"/>
      <x:c r="S7" s="58"/>
      <x:c r="T7" t="str">
        <x:v>是</x:v>
      </x:c>
      <x:c r="U7" t="str">
        <x:v>是</x:v>
      </x:c>
      <x:c r="V7" s="70" t="n">
        <x:v>0.32613610588280445</x:v>
      </x:c>
      <x:c r="W7" s="70" t="n">
        <x:v>0.2337308758826766</x:v>
      </x:c>
      <x:c r="X7" t="str">
        <x:v>正确</x:v>
      </x:c>
      <x:c r="Y7" t="str">
        <x:v>正确</x:v>
      </x:c>
      <x:c r="Z7" t="str">
        <x:v>80%</x:v>
      </x:c>
      <x:c r="AA7" t="str">
        <x:v>True</x:v>
      </x:c>
      <x:c r="AB7" t="str">
        <x:v>True</x:v>
      </x:c>
      <x:c r="AC7" t="str">
        <x:v>NFLX_2014_10K / NFLX_2015_10K / NFLX_2016_10K / NFLX_2017_10K</x:v>
      </x:c>
      <x:c r="AD7" t="str">
        <x:v>Domestic and international cohorts had different maturity and contribution economics. Net additions alone were insufficient; content cash exceeded amortization.</x:v>
      </x:c>
      <x:c r="AE7"/>
      <x:c r="AF7"/>
    </x:row>
    <x:row r="8" ht="23" customHeight="1">
      <x:c r="A8" t="str">
        <x:v>Netflix</x:v>
      </x:c>
      <x:c r="B8" t="str">
        <x:v>校准</x:v>
      </x:c>
      <x:c r="C8" t="str">
        <x:v>point-and-interval</x:v>
      </x:c>
      <x:c r="D8" t="str">
        <x:v>NFLX@FY2014</x:v>
      </x:c>
      <x:c r="E8" t="str">
        <x:v>FY2014</x:v>
      </x:c>
      <x:c r="F8" t="str">
        <x:v>FY2016</x:v>
      </x:c>
      <x:c r="G8" t="n">
        <x:v>2</x:v>
      </x:c>
      <x:c r="H8" t="str">
        <x:v>营业利润</x:v>
      </x:c>
      <x:c r="I8" s="63" t="n">
        <x:v>0.379793</x:v>
      </x:c>
      <x:c r="J8" s="67" t="n">
        <x:v>0.6</x:v>
      </x:c>
      <x:c r="K8" s="67" t="n">
        <x:v>0.42</x:v>
      </x:c>
      <x:c r="L8" s="67" t="n">
        <x:v>0.039999999999999925</x:v>
      </x:c>
      <x:c r="M8" s="67" t="n">
        <x:v>1.1600000000000001</x:v>
      </x:c>
      <x:c r="N8" s="67" t="n">
        <x:v>0.16199999999999998</x:v>
      </x:c>
      <x:c r="O8" s="67" t="n">
        <x:v>0.6779999999999999</x:v>
      </x:c>
      <x:c r="P8" s="56"/>
      <x:c r="Q8" s="56"/>
      <x:c r="R8" s="58" t="n">
        <x:v>3.199159372862917</x:v>
      </x:c>
      <x:c r="S8" s="58" t="n">
        <x:v>0.5828803030954753</x:v>
      </x:c>
      <x:c r="T8" t="str">
        <x:v>是</x:v>
      </x:c>
      <x:c r="U8" t="str">
        <x:v>是</x:v>
      </x:c>
      <x:c r="V8" s="70" t="n">
        <x:v>0.1268307078433129</x:v>
      </x:c>
      <x:c r="W8" s="70" t="n">
        <x:v>0.05843271897066915</x:v>
      </x:c>
      <x:c r="X8" t="str">
        <x:v>正确</x:v>
      </x:c>
      <x:c r="Y8" t="str">
        <x:v>正确</x:v>
      </x:c>
      <x:c r="Z8" t="str">
        <x:v>80%</x:v>
      </x:c>
      <x:c r="AA8" t="str">
        <x:v>True</x:v>
      </x:c>
      <x:c r="AB8" t="str">
        <x:v>True</x:v>
      </x:c>
      <x:c r="AC8" t="str">
        <x:v>NFLX_2014_10K / NFLX_2015_10K / NFLX_2016_10K / NFLX_2017_10K</x:v>
      </x:c>
      <x:c r="AD8" t="str">
        <x:v>Domestic and international cohorts had different maturity and contribution economics. Net additions alone were insufficient; content cash exceeded amortization.</x:v>
      </x:c>
      <x:c r="AE8"/>
      <x:c r="AF8"/>
    </x:row>
    <x:row r="9" ht="23" customHeight="1">
      <x:c r="A9" t="str">
        <x:v>Netflix</x:v>
      </x:c>
      <x:c r="B9" t="str">
        <x:v>校准</x:v>
      </x:c>
      <x:c r="C9" t="str">
        <x:v>point-and-interval</x:v>
      </x:c>
      <x:c r="D9" t="str">
        <x:v>NFLX@FY2014</x:v>
      </x:c>
      <x:c r="E9" t="str">
        <x:v>FY2014</x:v>
      </x:c>
      <x:c r="F9" t="str">
        <x:v>FY2017</x:v>
      </x:c>
      <x:c r="G9" t="n">
        <x:v>3</x:v>
      </x:c>
      <x:c r="H9" t="str">
        <x:v>营业收入</x:v>
      </x:c>
      <x:c r="I9" s="63" t="n">
        <x:v>11.692713</x:v>
      </x:c>
      <x:c r="J9" s="67" t="n">
        <x:v>9.7</x:v>
      </x:c>
      <x:c r="K9" s="67" t="n">
        <x:v>11.3</x:v>
      </x:c>
      <x:c r="L9" s="67" t="n">
        <x:v>7.2749999999999995</x:v>
      </x:c>
      <x:c r="M9" s="67" t="n">
        <x:v>12.125</x:v>
      </x:c>
      <x:c r="N9" s="67" t="n">
        <x:v>9.266000000000002</x:v>
      </x:c>
      <x:c r="O9" s="67" t="n">
        <x:v>13.334</x:v>
      </x:c>
      <x:c r="P9" s="56" t="n">
        <x:v>0.17042349367507784</x:v>
      </x:c>
      <x:c r="Q9" s="56" t="n">
        <x:v>0.033586131807049294</x:v>
      </x:c>
      <x:c r="R9" s="58"/>
      <x:c r="S9" s="58"/>
      <x:c r="T9" t="str">
        <x:v>是</x:v>
      </x:c>
      <x:c r="U9" t="str">
        <x:v>是</x:v>
      </x:c>
      <x:c r="V9" s="70" t="n">
        <x:v>0.41478825316246115</x:v>
      </x:c>
      <x:c r="W9" s="70" t="n">
        <x:v>0.34790899254946206</x:v>
      </x:c>
      <x:c r="X9" t="str">
        <x:v>正确</x:v>
      </x:c>
      <x:c r="Y9" t="str">
        <x:v>正确</x:v>
      </x:c>
      <x:c r="Z9" t="str">
        <x:v>80%</x:v>
      </x:c>
      <x:c r="AA9" t="str">
        <x:v>True</x:v>
      </x:c>
      <x:c r="AB9" t="str">
        <x:v>True</x:v>
      </x:c>
      <x:c r="AC9" t="str">
        <x:v>NFLX_2014_10K / NFLX_2015_10K / NFLX_2016_10K / NFLX_2017_10K</x:v>
      </x:c>
      <x:c r="AD9" t="str">
        <x:v>Domestic and international cohorts had different maturity and contribution economics. Net additions alone were insufficient; content cash exceeded amortization.</x:v>
      </x:c>
      <x:c r="AE9"/>
      <x:c r="AF9"/>
    </x:row>
    <x:row r="10" ht="23" customHeight="1">
      <x:c r="A10" t="str">
        <x:v>Netflix</x:v>
      </x:c>
      <x:c r="B10" t="str">
        <x:v>校准</x:v>
      </x:c>
      <x:c r="C10" t="str">
        <x:v>point-and-interval</x:v>
      </x:c>
      <x:c r="D10" t="str">
        <x:v>NFLX@FY2014</x:v>
      </x:c>
      <x:c r="E10" t="str">
        <x:v>FY2014</x:v>
      </x:c>
      <x:c r="F10" t="str">
        <x:v>FY2017</x:v>
      </x:c>
      <x:c r="G10" t="n">
        <x:v>3</x:v>
      </x:c>
      <x:c r="H10" t="str">
        <x:v>营业利润</x:v>
      </x:c>
      <x:c r="I10" s="63" t="n">
        <x:v>0.838679</x:v>
      </x:c>
      <x:c r="J10" s="67" t="n">
        <x:v>0.85</x:v>
      </x:c>
      <x:c r="K10" s="67" t="n">
        <x:v>0.78</x:v>
      </x:c>
      <x:c r="L10" s="67" t="n">
        <x:v>-0.12</x:v>
      </x:c>
      <x:c r="M10" s="67" t="n">
        <x:v>1.8199999999999998</x:v>
      </x:c>
      <x:c r="N10" s="67" t="n">
        <x:v>0.328</x:v>
      </x:c>
      <x:c r="O10" s="67" t="n">
        <x:v>1.232</x:v>
      </x:c>
      <x:c r="P10" s="56"/>
      <x:c r="Q10" s="56"/>
      <x:c r="R10" s="58" t="n">
        <x:v>1.5902227345558837</x:v>
      </x:c>
      <x:c r="S10" s="58" t="n">
        <x:v>0.2700089961256244</x:v>
      </x:c>
      <x:c r="T10" t="str">
        <x:v>是</x:v>
      </x:c>
      <x:c r="U10" t="str">
        <x:v>是</x:v>
      </x:c>
      <x:c r="V10" s="70" t="n">
        <x:v>0.16591530126498444</x:v>
      </x:c>
      <x:c r="W10" s="70" t="n">
        <x:v>0.07731310945543604</x:v>
      </x:c>
      <x:c r="X10" t="str">
        <x:v>正确</x:v>
      </x:c>
      <x:c r="Y10" t="str">
        <x:v>正确</x:v>
      </x:c>
      <x:c r="Z10" t="str">
        <x:v>80%</x:v>
      </x:c>
      <x:c r="AA10" t="str">
        <x:v>True</x:v>
      </x:c>
      <x:c r="AB10" t="str">
        <x:v>True</x:v>
      </x:c>
      <x:c r="AC10" t="str">
        <x:v>NFLX_2014_10K / NFLX_2015_10K / NFLX_2016_10K / NFLX_2017_10K</x:v>
      </x:c>
      <x:c r="AD10" t="str">
        <x:v>Domestic and international cohorts had different maturity and contribution economics. Net additions alone were insufficient; content cash exceeded amortization.</x:v>
      </x:c>
      <x:c r="AE10"/>
      <x:c r="AF10"/>
    </x:row>
    <x:row r="11" ht="23" customHeight="1">
      <x:c r="A11" t="str">
        <x:v>Netflix</x:v>
      </x:c>
      <x:c r="B11" t="str">
        <x:v>伪留出</x:v>
      </x:c>
      <x:c r="C11" t="str">
        <x:v>point-and-interval</x:v>
      </x:c>
      <x:c r="D11" t="str">
        <x:v>NFLX@FY2016</x:v>
      </x:c>
      <x:c r="E11" t="str">
        <x:v>FY2016</x:v>
      </x:c>
      <x:c r="F11" t="str">
        <x:v>FY2017</x:v>
      </x:c>
      <x:c r="G11" t="n">
        <x:v>1</x:v>
      </x:c>
      <x:c r="H11" t="str">
        <x:v>营业收入</x:v>
      </x:c>
      <x:c r="I11" s="63" t="n">
        <x:v>11.692713</x:v>
      </x:c>
      <x:c r="J11" s="67" t="n">
        <x:v>10.6</x:v>
      </x:c>
      <x:c r="K11" s="67" t="n">
        <x:v>11.5</x:v>
      </x:c>
      <x:c r="L11" s="67" t="n">
        <x:v>9.54</x:v>
      </x:c>
      <x:c r="M11" s="67" t="n">
        <x:v>11.66</x:v>
      </x:c>
      <x:c r="N11" s="67" t="n">
        <x:v>10.58</x:v>
      </x:c>
      <x:c r="O11" s="67" t="n">
        <x:v>12.420000000000002</x:v>
      </x:c>
      <x:c r="P11" s="56" t="n">
        <x:v>0.09345247762431182</x:v>
      </x:c>
      <x:c r="Q11" s="56" t="n">
        <x:v>0.016481461573545804</x:v>
      </x:c>
      <x:c r="R11" s="58"/>
      <x:c r="S11" s="58"/>
      <x:c r="T11" t="str">
        <x:v>否</x:v>
      </x:c>
      <x:c r="U11" t="str">
        <x:v>是</x:v>
      </x:c>
      <x:c r="V11" s="70" t="n">
        <x:v>0.20928675834256724</x:v>
      </x:c>
      <x:c r="W11" s="70" t="n">
        <x:v>0.1573629661482328</x:v>
      </x:c>
      <x:c r="X11" t="str">
        <x:v>正确</x:v>
      </x:c>
      <x:c r="Y11" t="str">
        <x:v>正确</x:v>
      </x:c>
      <x:c r="Z11" t="str">
        <x:v>80%</x:v>
      </x:c>
      <x:c r="AA11" t="str">
        <x:v>True</x:v>
      </x:c>
      <x:c r="AB11" t="str">
        <x:v>True</x:v>
      </x:c>
      <x:c r="AC11" t="str">
        <x:v>NFLX_2016_10K / NFLX_2017_10K / NFLX_2018_10K / NFLX_2019_10K</x:v>
      </x:c>
      <x:c r="AD11" t="str">
        <x:v>International contribution economics were approaching inflection while content payments, obligations and debt still constrained cash economics.</x:v>
      </x:c>
      <x:c r="AE11"/>
      <x:c r="AF11"/>
    </x:row>
    <x:row r="12" ht="23" customHeight="1">
      <x:c r="A12" t="str">
        <x:v>Netflix</x:v>
      </x:c>
      <x:c r="B12" t="str">
        <x:v>伪留出</x:v>
      </x:c>
      <x:c r="C12" t="str">
        <x:v>point-and-interval</x:v>
      </x:c>
      <x:c r="D12" t="str">
        <x:v>NFLX@FY2016</x:v>
      </x:c>
      <x:c r="E12" t="str">
        <x:v>FY2016</x:v>
      </x:c>
      <x:c r="F12" t="str">
        <x:v>FY2017</x:v>
      </x:c>
      <x:c r="G12" t="n">
        <x:v>1</x:v>
      </x:c>
      <x:c r="H12" t="str">
        <x:v>营业利润</x:v>
      </x:c>
      <x:c r="I12" s="63" t="n">
        <x:v>0.838679</x:v>
      </x:c>
      <x:c r="J12" s="67" t="n">
        <x:v>0.6</x:v>
      </x:c>
      <x:c r="K12" s="67" t="n">
        <x:v>0.78</x:v>
      </x:c>
      <x:c r="L12" s="67" t="n">
        <x:v>0.176</x:v>
      </x:c>
      <x:c r="M12" s="67" t="n">
        <x:v>1.024</x:v>
      </x:c>
      <x:c r="N12" s="67" t="n">
        <x:v>0.55</x:v>
      </x:c>
      <x:c r="O12" s="67" t="n">
        <x:v>1.01</x:v>
      </x:c>
      <x:c r="P12" s="56"/>
      <x:c r="Q12" s="56"/>
      <x:c r="R12" s="58" t="n">
        <x:v>1.5122865048916954</x:v>
      </x:c>
      <x:c r="S12" s="58" t="n">
        <x:v>0.390055167730087</x:v>
      </x:c>
      <x:c r="T12" t="str">
        <x:v>是</x:v>
      </x:c>
      <x:c r="U12" t="str">
        <x:v>是</x:v>
      </x:c>
      <x:c r="V12" s="70" t="n">
        <x:v>0.07252380179005506</x:v>
      </x:c>
      <x:c r="W12" s="70" t="n">
        <x:v>0.03934074153705817</x:v>
      </x:c>
      <x:c r="X12" t="str">
        <x:v>正确</x:v>
      </x:c>
      <x:c r="Y12" t="str">
        <x:v>正确</x:v>
      </x:c>
      <x:c r="Z12" t="str">
        <x:v>80%</x:v>
      </x:c>
      <x:c r="AA12" t="str">
        <x:v>True</x:v>
      </x:c>
      <x:c r="AB12" t="str">
        <x:v>True</x:v>
      </x:c>
      <x:c r="AC12" t="str">
        <x:v>NFLX_2016_10K / NFLX_2017_10K / NFLX_2018_10K / NFLX_2019_10K</x:v>
      </x:c>
      <x:c r="AD12" t="str">
        <x:v>International contribution economics were approaching inflection while content payments, obligations and debt still constrained cash economics.</x:v>
      </x:c>
      <x:c r="AE12"/>
      <x:c r="AF12"/>
    </x:row>
    <x:row r="13" ht="23" customHeight="1">
      <x:c r="A13" t="str">
        <x:v>Netflix</x:v>
      </x:c>
      <x:c r="B13" t="str">
        <x:v>伪留出</x:v>
      </x:c>
      <x:c r="C13" t="str">
        <x:v>point-and-interval</x:v>
      </x:c>
      <x:c r="D13" t="str">
        <x:v>NFLX@FY2016</x:v>
      </x:c>
      <x:c r="E13" t="str">
        <x:v>FY2016</x:v>
      </x:c>
      <x:c r="F13" t="str">
        <x:v>FY2018</x:v>
      </x:c>
      <x:c r="G13" t="n">
        <x:v>2</x:v>
      </x:c>
      <x:c r="H13" t="str">
        <x:v>营业收入</x:v>
      </x:c>
      <x:c r="I13" s="63" t="n">
        <x:v>15.794341</x:v>
      </x:c>
      <x:c r="J13" s="67" t="n">
        <x:v>12.7</x:v>
      </x:c>
      <x:c r="K13" s="67" t="n">
        <x:v>15</x:v>
      </x:c>
      <x:c r="L13" s="67" t="n">
        <x:v>10.414</x:v>
      </x:c>
      <x:c r="M13" s="67" t="n">
        <x:v>14.985999999999999</x:v>
      </x:c>
      <x:c r="N13" s="67" t="n">
        <x:v>13.2</x:v>
      </x:c>
      <x:c r="O13" s="67" t="n">
        <x:v>16.8</x:v>
      </x:c>
      <x:c r="P13" s="56" t="n">
        <x:v>0.1959145367318586</x:v>
      </x:c>
      <x:c r="Q13" s="56" t="n">
        <x:v>0.05029275991951797</x:v>
      </x:c>
      <x:c r="R13" s="58"/>
      <x:c r="S13" s="58"/>
      <x:c r="T13" t="str">
        <x:v>否</x:v>
      </x:c>
      <x:c r="U13" t="str">
        <x:v>是</x:v>
      </x:c>
      <x:c r="V13" s="70" t="n">
        <x:v>0.8012623002124625</x:v>
      </x:c>
      <x:c r="W13" s="70" t="n">
        <x:v>0.2279297376193158</x:v>
      </x:c>
      <x:c r="X13" t="str">
        <x:v>正确</x:v>
      </x:c>
      <x:c r="Y13" t="str">
        <x:v>正确</x:v>
      </x:c>
      <x:c r="Z13" t="str">
        <x:v>80%</x:v>
      </x:c>
      <x:c r="AA13" t="str">
        <x:v>True</x:v>
      </x:c>
      <x:c r="AB13" t="str">
        <x:v>True</x:v>
      </x:c>
      <x:c r="AC13" t="str">
        <x:v>NFLX_2016_10K / NFLX_2017_10K / NFLX_2018_10K / NFLX_2019_10K</x:v>
      </x:c>
      <x:c r="AD13" t="str">
        <x:v>International contribution economics were approaching inflection while content payments, obligations and debt still constrained cash economics.</x:v>
      </x:c>
      <x:c r="AE13"/>
      <x:c r="AF13"/>
    </x:row>
    <x:row r="14" ht="23" customHeight="1">
      <x:c r="A14" t="str">
        <x:v>Netflix</x:v>
      </x:c>
      <x:c r="B14" t="str">
        <x:v>伪留出</x:v>
      </x:c>
      <x:c r="C14" t="str">
        <x:v>point-and-interval</x:v>
      </x:c>
      <x:c r="D14" t="str">
        <x:v>NFLX@FY2016</x:v>
      </x:c>
      <x:c r="E14" t="str">
        <x:v>FY2016</x:v>
      </x:c>
      <x:c r="F14" t="str">
        <x:v>FY2018</x:v>
      </x:c>
      <x:c r="G14" t="n">
        <x:v>2</x:v>
      </x:c>
      <x:c r="H14" t="str">
        <x:v>营业利润</x:v>
      </x:c>
      <x:c r="I14" s="63" t="n">
        <x:v>1.605226</x:v>
      </x:c>
      <x:c r="J14" s="67" t="n">
        <x:v>0.95</x:v>
      </x:c>
      <x:c r="K14" s="67" t="n">
        <x:v>1.45</x:v>
      </x:c>
      <x:c r="L14" s="67" t="n">
        <x:v>0.06099999999999994</x:v>
      </x:c>
      <x:c r="M14" s="67" t="n">
        <x:v>1.839</x:v>
      </x:c>
      <x:c r="N14" s="67" t="n">
        <x:v>1.075</x:v>
      </x:c>
      <x:c r="O14" s="67" t="n">
        <x:v>1.825</x:v>
      </x:c>
      <x:c r="P14" s="56"/>
      <x:c r="Q14" s="56"/>
      <x:c r="R14" s="58" t="n">
        <x:v>2.6829834004729576</x:v>
      </x:c>
      <x:c r="S14" s="58" t="n">
        <x:v>0.49663169443621286</x:v>
      </x:c>
      <x:c r="T14" t="str">
        <x:v>是</x:v>
      </x:c>
      <x:c r="U14" t="str">
        <x:v>是</x:v>
      </x:c>
      <x:c r="V14" s="70" t="n">
        <x:v>0.1125719648575398</x:v>
      </x:c>
      <x:c r="W14" s="70" t="n">
        <x:v>0.047485362004024104</x:v>
      </x:c>
      <x:c r="X14" t="str">
        <x:v>正确</x:v>
      </x:c>
      <x:c r="Y14" t="str">
        <x:v>正确</x:v>
      </x:c>
      <x:c r="Z14" t="str">
        <x:v>80%</x:v>
      </x:c>
      <x:c r="AA14" t="str">
        <x:v>True</x:v>
      </x:c>
      <x:c r="AB14" t="str">
        <x:v>True</x:v>
      </x:c>
      <x:c r="AC14" t="str">
        <x:v>NFLX_2016_10K / NFLX_2017_10K / NFLX_2018_10K / NFLX_2019_10K</x:v>
      </x:c>
      <x:c r="AD14" t="str">
        <x:v>International contribution economics were approaching inflection while content payments, obligations and debt still constrained cash economics.</x:v>
      </x:c>
      <x:c r="AE14"/>
      <x:c r="AF14"/>
    </x:row>
    <x:row r="15" ht="23" customHeight="1">
      <x:c r="A15" t="str">
        <x:v>Netflix</x:v>
      </x:c>
      <x:c r="B15" t="str">
        <x:v>伪留出</x:v>
      </x:c>
      <x:c r="C15" t="str">
        <x:v>point-and-interval</x:v>
      </x:c>
      <x:c r="D15" t="str">
        <x:v>NFLX@FY2016</x:v>
      </x:c>
      <x:c r="E15" t="str">
        <x:v>FY2016</x:v>
      </x:c>
      <x:c r="F15" t="str">
        <x:v>FY2019</x:v>
      </x:c>
      <x:c r="G15" t="n">
        <x:v>3</x:v>
      </x:c>
      <x:c r="H15" t="str">
        <x:v>营业收入</x:v>
      </x:c>
      <x:c r="I15" s="63" t="n">
        <x:v>20.156447</x:v>
      </x:c>
      <x:c r="J15" s="67" t="n">
        <x:v>15</x:v>
      </x:c>
      <x:c r="K15" s="67" t="n">
        <x:v>19.2</x:v>
      </x:c>
      <x:c r="L15" s="67" t="n">
        <x:v>11.25</x:v>
      </x:c>
      <x:c r="M15" s="67" t="n">
        <x:v>18.75</x:v>
      </x:c>
      <x:c r="N15" s="67" t="n">
        <x:v>15.744</x:v>
      </x:c>
      <x:c r="O15" s="67" t="n">
        <x:v>22.656</x:v>
      </x:c>
      <x:c r="P15" s="56" t="n">
        <x:v>0.255821226826335</x:v>
      </x:c>
      <x:c r="Q15" s="56" t="n">
        <x:v>0.04745117033770886</x:v>
      </x:c>
      <x:c r="R15" s="58"/>
      <x:c r="S15" s="58"/>
      <x:c r="T15" t="str">
        <x:v>否</x:v>
      </x:c>
      <x:c r="U15" t="str">
        <x:v>是</x:v>
      </x:c>
      <x:c r="V15" s="70" t="n">
        <x:v>1.0698547219160202</x:v>
      </x:c>
      <x:c r="W15" s="70" t="n">
        <x:v>0.34291757867842476</x:v>
      </x:c>
      <x:c r="X15" t="str">
        <x:v>正确</x:v>
      </x:c>
      <x:c r="Y15" t="str">
        <x:v>正确</x:v>
      </x:c>
      <x:c r="Z15" t="str">
        <x:v>80%</x:v>
      </x:c>
      <x:c r="AA15" t="str">
        <x:v>True</x:v>
      </x:c>
      <x:c r="AB15" t="str">
        <x:v>True</x:v>
      </x:c>
      <x:c r="AC15" t="str">
        <x:v>NFLX_2016_10K / NFLX_2017_10K / NFLX_2018_10K / NFLX_2019_10K</x:v>
      </x:c>
      <x:c r="AD15" t="str">
        <x:v>International contribution economics were approaching inflection while content payments, obligations and debt still constrained cash economics.</x:v>
      </x:c>
      <x:c r="AE15"/>
      <x:c r="AF15"/>
    </x:row>
    <x:row r="16" ht="23" customHeight="1">
      <x:c r="A16" t="str">
        <x:v>Netflix</x:v>
      </x:c>
      <x:c r="B16" t="str">
        <x:v>伪留出</x:v>
      </x:c>
      <x:c r="C16" t="str">
        <x:v>point-and-interval</x:v>
      </x:c>
      <x:c r="D16" t="str">
        <x:v>NFLX@FY2016</x:v>
      </x:c>
      <x:c r="E16" t="str">
        <x:v>FY2016</x:v>
      </x:c>
      <x:c r="F16" t="str">
        <x:v>FY2019</x:v>
      </x:c>
      <x:c r="G16" t="n">
        <x:v>3</x:v>
      </x:c>
      <x:c r="H16" t="str">
        <x:v>营业利润</x:v>
      </x:c>
      <x:c r="I16" s="63" t="n">
        <x:v>2.604254</x:v>
      </x:c>
      <x:c r="J16" s="67" t="n">
        <x:v>1.4</x:v>
      </x:c>
      <x:c r="K16" s="67" t="n">
        <x:v>2.35</x:v>
      </x:c>
      <x:c r="L16" s="67" t="n">
        <x:v>-0.10000000000000009</x:v>
      </x:c>
      <x:c r="M16" s="67" t="n">
        <x:v>2.9</x:v>
      </x:c>
      <x:c r="N16" s="67" t="n">
        <x:v>1.678</x:v>
      </x:c>
      <x:c r="O16" s="67" t="n">
        <x:v>3.0220000000000002</x:v>
      </x:c>
      <x:c r="P16" s="56"/>
      <x:c r="Q16" s="56"/>
      <x:c r="R16" s="58" t="n">
        <x:v>3.586870311684065</x:v>
      </x:c>
      <x:c r="S16" s="58" t="n">
        <x:v>0.6806203116840631</x:v>
      </x:c>
      <x:c r="T16" t="str">
        <x:v>是</x:v>
      </x:c>
      <x:c r="U16" t="str">
        <x:v>是</x:v>
      </x:c>
      <x:c r="V16" s="70" t="n">
        <x:v>0.148835754634733</x:v>
      </x:c>
      <x:c r="W16" s="70" t="n">
        <x:v>0.0666784180763604</x:v>
      </x:c>
      <x:c r="X16" t="str">
        <x:v>正确</x:v>
      </x:c>
      <x:c r="Y16" t="str">
        <x:v>正确</x:v>
      </x:c>
      <x:c r="Z16" t="str">
        <x:v>80%</x:v>
      </x:c>
      <x:c r="AA16" t="str">
        <x:v>True</x:v>
      </x:c>
      <x:c r="AB16" t="str">
        <x:v>True</x:v>
      </x:c>
      <x:c r="AC16" t="str">
        <x:v>NFLX_2016_10K / NFLX_2017_10K / NFLX_2018_10K / NFLX_2019_10K</x:v>
      </x:c>
      <x:c r="AD16" t="str">
        <x:v>International contribution economics were approaching inflection while content payments, obligations and debt still constrained cash economics.</x:v>
      </x:c>
      <x:c r="AE16"/>
      <x:c r="AF16"/>
    </x:row>
    <x:row r="17" ht="23" customHeight="1">
      <x:c r="A17" t="str">
        <x:v>Netflix</x:v>
      </x:c>
      <x:c r="B17" t="str">
        <x:v>伪留出</x:v>
      </x:c>
      <x:c r="C17" t="str">
        <x:v>point-and-interval-with-exogenous-tail</x:v>
      </x:c>
      <x:c r="D17" t="str">
        <x:v>NFLX@FY2018</x:v>
      </x:c>
      <x:c r="E17" t="str">
        <x:v>FY2018</x:v>
      </x:c>
      <x:c r="F17" t="str">
        <x:v>FY2019</x:v>
      </x:c>
      <x:c r="G17" t="n">
        <x:v>1</x:v>
      </x:c>
      <x:c r="H17" t="str">
        <x:v>营业收入</x:v>
      </x:c>
      <x:c r="I17" s="63" t="n">
        <x:v>20.156447</x:v>
      </x:c>
      <x:c r="J17" s="67" t="n">
        <x:v>18.5</x:v>
      </x:c>
      <x:c r="K17" s="67" t="n">
        <x:v>19.8</x:v>
      </x:c>
      <x:c r="L17" s="67" t="n">
        <x:v>16.650000000000002</x:v>
      </x:c>
      <x:c r="M17" s="67" t="n">
        <x:v>20.35</x:v>
      </x:c>
      <x:c r="N17" s="67" t="n">
        <x:v>18.216</x:v>
      </x:c>
      <x:c r="O17" s="67" t="n">
        <x:v>21.384000000000004</x:v>
      </x:c>
      <x:c r="P17" s="56" t="n">
        <x:v>0.08217951308581319</x:v>
      </x:c>
      <x:c r="Q17" s="56" t="n">
        <x:v>0.01768401941076219</x:v>
      </x:c>
      <x:c r="R17" s="58"/>
      <x:c r="S17" s="58"/>
      <x:c r="T17" t="str">
        <x:v>是</x:v>
      </x:c>
      <x:c r="U17" t="str">
        <x:v>是</x:v>
      </x:c>
      <x:c r="V17" s="70" t="n">
        <x:v>0.18356409738283733</x:v>
      </x:c>
      <x:c r="W17" s="70" t="n">
        <x:v>0.1571705568942782</x:v>
      </x:c>
      <x:c r="X17" t="str">
        <x:v>正确</x:v>
      </x:c>
      <x:c r="Y17" t="str">
        <x:v>正确</x:v>
      </x:c>
      <x:c r="Z17" t="str">
        <x:v>80%</x:v>
      </x:c>
      <x:c r="AA17" t="str">
        <x:v>True</x:v>
      </x:c>
      <x:c r="AB17" t="str">
        <x:v>True</x:v>
      </x:c>
      <x:c r="AC17" t="str">
        <x:v>NFLX_2018_10K / NFLX_2019_10K / NFLX_2020_10K / NFLX_2021_10K</x:v>
      </x:c>
      <x:c r="AD17" t="str">
        <x:v>2019 remained a normal forecast year. Pandemic demand pull-forward and production delays in 2020-2021 were exogenous tails rather than deterministic Base inputs.</x:v>
      </x:c>
      <x:c r="AE17"/>
      <x:c r="AF17"/>
    </x:row>
    <x:row r="18" ht="23" customHeight="1">
      <x:c r="A18" t="str">
        <x:v>Netflix</x:v>
      </x:c>
      <x:c r="B18" t="str">
        <x:v>伪留出</x:v>
      </x:c>
      <x:c r="C18" t="str">
        <x:v>point-and-interval-with-exogenous-tail</x:v>
      </x:c>
      <x:c r="D18" t="str">
        <x:v>NFLX@FY2018</x:v>
      </x:c>
      <x:c r="E18" t="str">
        <x:v>FY2018</x:v>
      </x:c>
      <x:c r="F18" t="str">
        <x:v>FY2019</x:v>
      </x:c>
      <x:c r="G18" t="n">
        <x:v>1</x:v>
      </x:c>
      <x:c r="H18" t="str">
        <x:v>营业利润</x:v>
      </x:c>
      <x:c r="I18" s="63" t="n">
        <x:v>2.604254</x:v>
      </x:c>
      <x:c r="J18" s="67" t="n">
        <x:v>2.2</x:v>
      </x:c>
      <x:c r="K18" s="67" t="n">
        <x:v>2.45</x:v>
      </x:c>
      <x:c r="L18" s="67" t="n">
        <x:v>1.4600000000000002</x:v>
      </x:c>
      <x:c r="M18" s="67" t="n">
        <x:v>2.9400000000000004</x:v>
      </x:c>
      <x:c r="N18" s="67" t="n">
        <x:v>2.0540000000000003</x:v>
      </x:c>
      <x:c r="O18" s="67" t="n">
        <x:v>2.846</x:v>
      </x:c>
      <x:c r="P18" s="56"/>
      <x:c r="Q18" s="56"/>
      <x:c r="R18" s="58" t="n">
        <x:v>1.0283117531255048</x:v>
      </x:c>
      <x:c r="S18" s="58" t="n">
        <x:v>0.546466271280023</x:v>
      </x:c>
      <x:c r="T18" t="str">
        <x:v>是</x:v>
      </x:c>
      <x:c r="U18" t="str">
        <x:v>是</x:v>
      </x:c>
      <x:c r="V18" s="70" t="n">
        <x:v>0.07342563895313496</x:v>
      </x:c>
      <x:c r="W18" s="70" t="n">
        <x:v>0.0392926392235695</x:v>
      </x:c>
      <x:c r="X18" t="str">
        <x:v>正确</x:v>
      </x:c>
      <x:c r="Y18" t="str">
        <x:v>正确</x:v>
      </x:c>
      <x:c r="Z18" t="str">
        <x:v>80%</x:v>
      </x:c>
      <x:c r="AA18" t="str">
        <x:v>True</x:v>
      </x:c>
      <x:c r="AB18" t="str">
        <x:v>True</x:v>
      </x:c>
      <x:c r="AC18" t="str">
        <x:v>NFLX_2018_10K / NFLX_2019_10K / NFLX_2020_10K / NFLX_2021_10K</x:v>
      </x:c>
      <x:c r="AD18" t="str">
        <x:v>2019 remained a normal forecast year. Pandemic demand pull-forward and production delays in 2020-2021 were exogenous tails rather than deterministic Base inputs.</x:v>
      </x:c>
      <x:c r="AE18"/>
      <x:c r="AF18"/>
    </x:row>
    <x:row r="19" ht="23" customHeight="1">
      <x:c r="A19" t="str">
        <x:v>Netflix</x:v>
      </x:c>
      <x:c r="B19" t="str">
        <x:v>伪留出</x:v>
      </x:c>
      <x:c r="C19" t="str">
        <x:v>point-and-interval-with-exogenous-tail</x:v>
      </x:c>
      <x:c r="D19" t="str">
        <x:v>NFLX@FY2018</x:v>
      </x:c>
      <x:c r="E19" t="str">
        <x:v>FY2018</x:v>
      </x:c>
      <x:c r="F19" t="str">
        <x:v>FY2020</x:v>
      </x:c>
      <x:c r="G19" t="n">
        <x:v>2</x:v>
      </x:c>
      <x:c r="H19" t="str">
        <x:v>营业收入</x:v>
      </x:c>
      <x:c r="I19" s="63" t="n">
        <x:v>24.996056</x:v>
      </x:c>
      <x:c r="J19" s="67" t="n">
        <x:v>21.5</x:v>
      </x:c>
      <x:c r="K19" s="67" t="n">
        <x:v>23.5</x:v>
      </x:c>
      <x:c r="L19" s="67" t="n">
        <x:v>17.630000000000003</x:v>
      </x:c>
      <x:c r="M19" s="67" t="n">
        <x:v>25.369999999999997</x:v>
      </x:c>
      <x:c r="N19" s="67" t="n">
        <x:v>16.919999999999998</x:v>
      </x:c>
      <x:c r="O19" s="67" t="n">
        <x:v>30.080000000000002</x:v>
      </x:c>
      <x:c r="P19" s="56"/>
      <x:c r="Q19" s="56"/>
      <x:c r="R19" s="58"/>
      <x:c r="S19" s="58"/>
      <x:c r="T19" t="str">
        <x:v>是</x:v>
      </x:c>
      <x:c r="U19" t="str">
        <x:v>是</x:v>
      </x:c>
      <x:c r="V19" s="70" t="n">
        <x:v>0.30964885020260774</x:v>
      </x:c>
      <x:c r="W19" s="70" t="n">
        <x:v>0.526483057967225</x:v>
      </x:c>
      <x:c r="X19" t="str">
        <x:v>错误</x:v>
      </x:c>
      <x:c r="Y19" t="str">
        <x:v>错误</x:v>
      </x:c>
      <x:c r="Z19" t="str">
        <x:v>90%</x:v>
      </x:c>
      <x:c r="AA19" t="str">
        <x:v>False</x:v>
      </x:c>
      <x:c r="AB19" t="str">
        <x:v>True</x:v>
      </x:c>
      <x:c r="AC19" t="str">
        <x:v>NFLX_2018_10K / NFLX_2019_10K / NFLX_2020_10K / NFLX_2021_10K</x:v>
      </x:c>
      <x:c r="AD19" t="str">
        <x:v>2019 remained a normal forecast year. Pandemic demand pull-forward and production delays in 2020-2021 were exogenous tails rather than deterministic Base inputs.</x:v>
      </x:c>
      <x:c r="AE19"/>
      <x:c r="AF19"/>
    </x:row>
    <x:row r="20" ht="23" customHeight="1">
      <x:c r="A20" t="str">
        <x:v>Netflix</x:v>
      </x:c>
      <x:c r="B20" t="str">
        <x:v>伪留出</x:v>
      </x:c>
      <x:c r="C20" t="str">
        <x:v>point-and-interval-with-exogenous-tail</x:v>
      </x:c>
      <x:c r="D20" t="str">
        <x:v>NFLX@FY2018</x:v>
      </x:c>
      <x:c r="E20" t="str">
        <x:v>FY2018</x:v>
      </x:c>
      <x:c r="F20" t="str">
        <x:v>FY2020</x:v>
      </x:c>
      <x:c r="G20" t="n">
        <x:v>2</x:v>
      </x:c>
      <x:c r="H20" t="str">
        <x:v>营业利润</x:v>
      </x:c>
      <x:c r="I20" s="63" t="n">
        <x:v>4.585289</x:v>
      </x:c>
      <x:c r="J20" s="67" t="n">
        <x:v>3</x:v>
      </x:c>
      <x:c r="K20" s="67" t="n">
        <x:v>3.65</x:v>
      </x:c>
      <x:c r="L20" s="67" t="n">
        <x:v>1.4949999999999999</x:v>
      </x:c>
      <x:c r="M20" s="67" t="n">
        <x:v>4.505</x:v>
      </x:c>
      <x:c r="N20" s="67" t="n">
        <x:v>1.2999999999999998</x:v>
      </x:c>
      <x:c r="O20" s="67" t="n">
        <x:v>6</x:v>
      </x:c>
      <x:c r="P20" s="56"/>
      <x:c r="Q20" s="56"/>
      <x:c r="R20" s="58"/>
      <x:c r="S20" s="58"/>
      <x:c r="T20" t="str">
        <x:v>否</x:v>
      </x:c>
      <x:c r="U20" t="str">
        <x:v>是</x:v>
      </x:c>
      <x:c r="V20" s="70" t="n">
        <x:v>0.1846603320139789</x:v>
      </x:c>
      <x:c r="W20" s="70" t="n">
        <x:v>0.1880296635597232</x:v>
      </x:c>
      <x:c r="X20" t="str">
        <x:v>错误</x:v>
      </x:c>
      <x:c r="Y20" t="str">
        <x:v>错误</x:v>
      </x:c>
      <x:c r="Z20" t="str">
        <x:v>90%</x:v>
      </x:c>
      <x:c r="AA20" t="str">
        <x:v>False</x:v>
      </x:c>
      <x:c r="AB20" t="str">
        <x:v>True</x:v>
      </x:c>
      <x:c r="AC20" t="str">
        <x:v>NFLX_2018_10K / NFLX_2019_10K / NFLX_2020_10K / NFLX_2021_10K</x:v>
      </x:c>
      <x:c r="AD20" t="str">
        <x:v>2019 remained a normal forecast year. Pandemic demand pull-forward and production delays in 2020-2021 were exogenous tails rather than deterministic Base inputs.</x:v>
      </x:c>
      <x:c r="AE20"/>
      <x:c r="AF20"/>
    </x:row>
    <x:row r="21" ht="23" customHeight="1">
      <x:c r="A21" t="str">
        <x:v>Netflix</x:v>
      </x:c>
      <x:c r="B21" t="str">
        <x:v>伪留出</x:v>
      </x:c>
      <x:c r="C21" t="str">
        <x:v>point-and-interval-with-exogenous-tail</x:v>
      </x:c>
      <x:c r="D21" t="str">
        <x:v>NFLX@FY2018</x:v>
      </x:c>
      <x:c r="E21" t="str">
        <x:v>FY2018</x:v>
      </x:c>
      <x:c r="F21" t="str">
        <x:v>FY2021</x:v>
      </x:c>
      <x:c r="G21" t="n">
        <x:v>3</x:v>
      </x:c>
      <x:c r="H21" t="str">
        <x:v>营业收入</x:v>
      </x:c>
      <x:c r="I21" s="63" t="n">
        <x:v>29.697844</x:v>
      </x:c>
      <x:c r="J21" s="67" t="n">
        <x:v>24.5</x:v>
      </x:c>
      <x:c r="K21" s="67" t="n">
        <x:v>27</x:v>
      </x:c>
      <x:c r="L21" s="67" t="n">
        <x:v>18.375</x:v>
      </x:c>
      <x:c r="M21" s="67" t="n">
        <x:v>30.625</x:v>
      </x:c>
      <x:c r="N21" s="67" t="n">
        <x:v>17.55</x:v>
      </x:c>
      <x:c r="O21" s="67" t="n">
        <x:v>36.45</x:v>
      </x:c>
      <x:c r="P21" s="56"/>
      <x:c r="Q21" s="56"/>
      <x:c r="R21" s="58"/>
      <x:c r="S21" s="58"/>
      <x:c r="T21" t="str">
        <x:v>是</x:v>
      </x:c>
      <x:c r="U21" t="str">
        <x:v>是</x:v>
      </x:c>
      <x:c r="V21" s="70" t="n">
        <x:v>0.41248785602079396</x:v>
      </x:c>
      <x:c r="W21" s="70" t="n">
        <x:v>0.6364098350035108</x:v>
      </x:c>
      <x:c r="X21" t="str">
        <x:v>错误</x:v>
      </x:c>
      <x:c r="Y21" t="str">
        <x:v>错误</x:v>
      </x:c>
      <x:c r="Z21" t="str">
        <x:v>90%</x:v>
      </x:c>
      <x:c r="AA21" t="str">
        <x:v>False</x:v>
      </x:c>
      <x:c r="AB21" t="str">
        <x:v>True</x:v>
      </x:c>
      <x:c r="AC21" t="str">
        <x:v>NFLX_2018_10K / NFLX_2019_10K / NFLX_2020_10K / NFLX_2021_10K</x:v>
      </x:c>
      <x:c r="AD21" t="str">
        <x:v>2019 remained a normal forecast year. Pandemic demand pull-forward and production delays in 2020-2021 were exogenous tails rather than deterministic Base inputs.</x:v>
      </x:c>
      <x:c r="AE21"/>
      <x:c r="AF21"/>
    </x:row>
    <x:row r="22" ht="23" customHeight="1">
      <x:c r="A22" t="str">
        <x:v>Netflix</x:v>
      </x:c>
      <x:c r="B22" t="str">
        <x:v>伪留出</x:v>
      </x:c>
      <x:c r="C22" t="str">
        <x:v>point-and-interval-with-exogenous-tail</x:v>
      </x:c>
      <x:c r="D22" t="str">
        <x:v>NFLX@FY2018</x:v>
      </x:c>
      <x:c r="E22" t="str">
        <x:v>FY2018</x:v>
      </x:c>
      <x:c r="F22" t="str">
        <x:v>FY2021</x:v>
      </x:c>
      <x:c r="G22" t="n">
        <x:v>3</x:v>
      </x:c>
      <x:c r="H22" t="str">
        <x:v>营业利润</x:v>
      </x:c>
      <x:c r="I22" s="63" t="n">
        <x:v>6.194509</x:v>
      </x:c>
      <x:c r="J22" s="67" t="n">
        <x:v>3.8</x:v>
      </x:c>
      <x:c r="K22" s="67" t="n">
        <x:v>5</x:v>
      </x:c>
      <x:c r="L22" s="67" t="n">
        <x:v>1.3499999999999996</x:v>
      </x:c>
      <x:c r="M22" s="67" t="n">
        <x:v>6.25</x:v>
      </x:c>
      <x:c r="N22" s="67" t="n">
        <x:v>1.2199999999999998</x:v>
      </x:c>
      <x:c r="O22" s="67" t="n">
        <x:v>8.780000000000001</x:v>
      </x:c>
      <x:c r="P22" s="56"/>
      <x:c r="Q22" s="56"/>
      <x:c r="R22" s="58"/>
      <x:c r="S22" s="58"/>
      <x:c r="T22" t="str">
        <x:v>是</x:v>
      </x:c>
      <x:c r="U22" t="str">
        <x:v>是</x:v>
      </x:c>
      <x:c r="V22" s="70" t="n">
        <x:v>0.1649951424083176</x:v>
      </x:c>
      <x:c r="W22" s="70" t="n">
        <x:v>0.2545639340014043</x:v>
      </x:c>
      <x:c r="X22" t="str">
        <x:v>错误</x:v>
      </x:c>
      <x:c r="Y22" t="str">
        <x:v>错误</x:v>
      </x:c>
      <x:c r="Z22" t="str">
        <x:v>90%</x:v>
      </x:c>
      <x:c r="AA22" t="str">
        <x:v>False</x:v>
      </x:c>
      <x:c r="AB22" t="str">
        <x:v>True</x:v>
      </x:c>
      <x:c r="AC22" t="str">
        <x:v>NFLX_2018_10K / NFLX_2019_10K / NFLX_2020_10K / NFLX_2021_10K</x:v>
      </x:c>
      <x:c r="AD22" t="str">
        <x:v>2019 remained a normal forecast year. Pandemic demand pull-forward and production delays in 2020-2021 were exogenous tails rather than deterministic Base inputs.</x:v>
      </x:c>
      <x:c r="AE22"/>
      <x:c r="AF22"/>
    </x:row>
    <x:row r="23" ht="23" customHeight="1">
      <x:c r="A23" t="str">
        <x:v>Netflix</x:v>
      </x:c>
      <x:c r="B23" t="str">
        <x:v>外生分布</x:v>
      </x:c>
      <x:c r="C23" t="str">
        <x:v>distribution-only-exogenous-shock</x:v>
      </x:c>
      <x:c r="D23" t="str">
        <x:v>NFLX@FY2019</x:v>
      </x:c>
      <x:c r="E23" t="str">
        <x:v>FY2019</x:v>
      </x:c>
      <x:c r="F23" t="str">
        <x:v>FY2020</x:v>
      </x:c>
      <x:c r="G23" t="n">
        <x:v>1</x:v>
      </x:c>
      <x:c r="H23" t="str">
        <x:v>营业收入</x:v>
      </x:c>
      <x:c r="I23" s="63" t="n">
        <x:v>24.996056</x:v>
      </x:c>
      <x:c r="J23" s="67" t="n">
        <x:v>23.5</x:v>
      </x:c>
      <x:c r="K23" s="67" t="n">
        <x:v>23.8</x:v>
      </x:c>
      <x:c r="L23" s="67" t="n">
        <x:v>21.150000000000002</x:v>
      </x:c>
      <x:c r="M23" s="67" t="n">
        <x:v>25.85</x:v>
      </x:c>
      <x:c r="N23" s="67" t="n">
        <x:v>18.564</x:v>
      </x:c>
      <x:c r="O23" s="67" t="n">
        <x:v>29.036</x:v>
      </x:c>
      <x:c r="P23" s="56"/>
      <x:c r="Q23" s="56"/>
      <x:c r="R23" s="58"/>
      <x:c r="S23" s="58"/>
      <x:c r="T23" t="str">
        <x:v>是</x:v>
      </x:c>
      <x:c r="U23" t="str">
        <x:v>是</x:v>
      </x:c>
      <x:c r="V23" s="70" t="n">
        <x:v>0.18802966355972317</x:v>
      </x:c>
      <x:c r="W23" s="70" t="n">
        <x:v>0.4189460929356216</x:v>
      </x:c>
      <x:c r="X23" t="str">
        <x:v>错误</x:v>
      </x:c>
      <x:c r="Y23" t="str">
        <x:v>错误</x:v>
      </x:c>
      <x:c r="Z23" t="str">
        <x:v>90%</x:v>
      </x:c>
      <x:c r="AA23" t="str">
        <x:v>False</x:v>
      </x:c>
      <x:c r="AB23" t="str">
        <x:v>True</x:v>
      </x:c>
      <x:c r="AC23" t="str">
        <x:v>NFLX_2019_10K / NFLX_2020_10K / NFLX_2021_10K / NFLX_2022_10K</x:v>
      </x:c>
      <x:c r="AD23" t="str">
        <x:v>COVID-related demand acceleration and production/payment delays were not knowable at the FY2019 cutoff. Evaluate distribution coverage and cash-content resilience, not point accuracy.</x:v>
      </x:c>
      <x:c r="AE23"/>
      <x:c r="AF23"/>
    </x:row>
    <x:row r="24" ht="23" customHeight="1">
      <x:c r="A24" t="str">
        <x:v>Netflix</x:v>
      </x:c>
      <x:c r="B24" t="str">
        <x:v>外生分布</x:v>
      </x:c>
      <x:c r="C24" t="str">
        <x:v>distribution-only-exogenous-shock</x:v>
      </x:c>
      <x:c r="D24" t="str">
        <x:v>NFLX@FY2019</x:v>
      </x:c>
      <x:c r="E24" t="str">
        <x:v>FY2019</x:v>
      </x:c>
      <x:c r="F24" t="str">
        <x:v>FY2020</x:v>
      </x:c>
      <x:c r="G24" t="n">
        <x:v>1</x:v>
      </x:c>
      <x:c r="H24" t="str">
        <x:v>营业利润</x:v>
      </x:c>
      <x:c r="I24" s="63" t="n">
        <x:v>4.585289</x:v>
      </x:c>
      <x:c r="J24" s="67" t="n">
        <x:v>3.4</x:v>
      </x:c>
      <x:c r="K24" s="67" t="n">
        <x:v>3.8</x:v>
      </x:c>
      <x:c r="L24" s="67" t="n">
        <x:v>2.46</x:v>
      </x:c>
      <x:c r="M24" s="67" t="n">
        <x:v>4.34</x:v>
      </x:c>
      <x:c r="N24" s="67" t="n">
        <x:v>1.658</x:v>
      </x:c>
      <x:c r="O24" s="67" t="n">
        <x:v>5.942</x:v>
      </x:c>
      <x:c r="P24" s="56"/>
      <x:c r="Q24" s="56"/>
      <x:c r="R24" s="58"/>
      <x:c r="S24" s="58"/>
      <x:c r="T24" t="str">
        <x:v>否</x:v>
      </x:c>
      <x:c r="U24" t="str">
        <x:v>是</x:v>
      </x:c>
      <x:c r="V24" s="70" t="n">
        <x:v>0.2714740277426171</x:v>
      </x:c>
      <x:c r="W24" s="70" t="n">
        <x:v>0.17138703801911792</x:v>
      </x:c>
      <x:c r="X24" t="str">
        <x:v>错误</x:v>
      </x:c>
      <x:c r="Y24" t="str">
        <x:v>错误</x:v>
      </x:c>
      <x:c r="Z24" t="str">
        <x:v>90%</x:v>
      </x:c>
      <x:c r="AA24" t="str">
        <x:v>False</x:v>
      </x:c>
      <x:c r="AB24" t="str">
        <x:v>True</x:v>
      </x:c>
      <x:c r="AC24" t="str">
        <x:v>NFLX_2019_10K / NFLX_2020_10K / NFLX_2021_10K / NFLX_2022_10K</x:v>
      </x:c>
      <x:c r="AD24" t="str">
        <x:v>COVID-related demand acceleration and production/payment delays were not knowable at the FY2019 cutoff. Evaluate distribution coverage and cash-content resilience, not point accuracy.</x:v>
      </x:c>
      <x:c r="AE24"/>
      <x:c r="AF24"/>
    </x:row>
    <x:row r="25" ht="23" customHeight="1">
      <x:c r="A25" t="str">
        <x:v>Netflix</x:v>
      </x:c>
      <x:c r="B25" t="str">
        <x:v>外生分布</x:v>
      </x:c>
      <x:c r="C25" t="str">
        <x:v>distribution-only-exogenous-shock</x:v>
      </x:c>
      <x:c r="D25" t="str">
        <x:v>NFLX@FY2019</x:v>
      </x:c>
      <x:c r="E25" t="str">
        <x:v>FY2019</x:v>
      </x:c>
      <x:c r="F25" t="str">
        <x:v>FY2021</x:v>
      </x:c>
      <x:c r="G25" t="n">
        <x:v>2</x:v>
      </x:c>
      <x:c r="H25" t="str">
        <x:v>营业收入</x:v>
      </x:c>
      <x:c r="I25" s="63" t="n">
        <x:v>29.697844</x:v>
      </x:c>
      <x:c r="J25" s="67" t="n">
        <x:v>27</x:v>
      </x:c>
      <x:c r="K25" s="67" t="n">
        <x:v>27.5</x:v>
      </x:c>
      <x:c r="L25" s="67" t="n">
        <x:v>22.14</x:v>
      </x:c>
      <x:c r="M25" s="67" t="n">
        <x:v>31.86</x:v>
      </x:c>
      <x:c r="N25" s="67" t="n">
        <x:v>19.25</x:v>
      </x:c>
      <x:c r="O25" s="67" t="n">
        <x:v>35.75</x:v>
      </x:c>
      <x:c r="P25" s="56"/>
      <x:c r="Q25" s="56"/>
      <x:c r="R25" s="58"/>
      <x:c r="S25" s="58"/>
      <x:c r="T25" t="str">
        <x:v>是</x:v>
      </x:c>
      <x:c r="U25" t="str">
        <x:v>是</x:v>
      </x:c>
      <x:c r="V25" s="70" t="n">
        <x:v>0.327296486573234</x:v>
      </x:c>
      <x:c r="W25" s="70" t="n">
        <x:v>0.5555958877014776</x:v>
      </x:c>
      <x:c r="X25" t="str">
        <x:v>错误</x:v>
      </x:c>
      <x:c r="Y25" t="str">
        <x:v>错误</x:v>
      </x:c>
      <x:c r="Z25" t="str">
        <x:v>90%</x:v>
      </x:c>
      <x:c r="AA25" t="str">
        <x:v>False</x:v>
      </x:c>
      <x:c r="AB25" t="str">
        <x:v>True</x:v>
      </x:c>
      <x:c r="AC25" t="str">
        <x:v>NFLX_2019_10K / NFLX_2020_10K / NFLX_2021_10K / NFLX_2022_10K</x:v>
      </x:c>
      <x:c r="AD25" t="str">
        <x:v>COVID-related demand acceleration and production/payment delays were not knowable at the FY2019 cutoff. Evaluate distribution coverage and cash-content resilience, not point accuracy.</x:v>
      </x:c>
      <x:c r="AE25"/>
      <x:c r="AF25"/>
    </x:row>
    <x:row r="26" ht="23" customHeight="1">
      <x:c r="A26" t="str">
        <x:v>Netflix</x:v>
      </x:c>
      <x:c r="B26" t="str">
        <x:v>外生分布</x:v>
      </x:c>
      <x:c r="C26" t="str">
        <x:v>distribution-only-exogenous-shock</x:v>
      </x:c>
      <x:c r="D26" t="str">
        <x:v>NFLX@FY2019</x:v>
      </x:c>
      <x:c r="E26" t="str">
        <x:v>FY2019</x:v>
      </x:c>
      <x:c r="F26" t="str">
        <x:v>FY2021</x:v>
      </x:c>
      <x:c r="G26" t="n">
        <x:v>2</x:v>
      </x:c>
      <x:c r="H26" t="str">
        <x:v>营业利润</x:v>
      </x:c>
      <x:c r="I26" s="63" t="n">
        <x:v>6.194509</x:v>
      </x:c>
      <x:c r="J26" s="67" t="n">
        <x:v>4.2</x:v>
      </x:c>
      <x:c r="K26" s="67" t="n">
        <x:v>5</x:v>
      </x:c>
      <x:c r="L26" s="67" t="n">
        <x:v>2.31</x:v>
      </x:c>
      <x:c r="M26" s="67" t="n">
        <x:v>6.09</x:v>
      </x:c>
      <x:c r="N26" s="67" t="n">
        <x:v>1.7000000000000002</x:v>
      </x:c>
      <x:c r="O26" s="67" t="n">
        <x:v>8.3</x:v>
      </x:c>
      <x:c r="P26" s="56"/>
      <x:c r="Q26" s="56"/>
      <x:c r="R26" s="58"/>
      <x:c r="S26" s="58"/>
      <x:c r="T26" t="str">
        <x:v>否</x:v>
      </x:c>
      <x:c r="U26" t="str">
        <x:v>是</x:v>
      </x:c>
      <x:c r="V26" s="70" t="n">
        <x:v>0.1976635071556037</x:v>
      </x:c>
      <x:c r="W26" s="70" t="n">
        <x:v>0.22223835508059106</x:v>
      </x:c>
      <x:c r="X26" t="str">
        <x:v>错误</x:v>
      </x:c>
      <x:c r="Y26" t="str">
        <x:v>错误</x:v>
      </x:c>
      <x:c r="Z26" t="str">
        <x:v>90%</x:v>
      </x:c>
      <x:c r="AA26" t="str">
        <x:v>False</x:v>
      </x:c>
      <x:c r="AB26" t="str">
        <x:v>True</x:v>
      </x:c>
      <x:c r="AC26" t="str">
        <x:v>NFLX_2019_10K / NFLX_2020_10K / NFLX_2021_10K / NFLX_2022_10K</x:v>
      </x:c>
      <x:c r="AD26" t="str">
        <x:v>COVID-related demand acceleration and production/payment delays were not knowable at the FY2019 cutoff. Evaluate distribution coverage and cash-content resilience, not point accuracy.</x:v>
      </x:c>
      <x:c r="AE26"/>
      <x:c r="AF26"/>
    </x:row>
    <x:row r="27" ht="23" customHeight="1">
      <x:c r="A27" t="str">
        <x:v>Netflix</x:v>
      </x:c>
      <x:c r="B27" t="str">
        <x:v>外生分布</x:v>
      </x:c>
      <x:c r="C27" t="str">
        <x:v>distribution-only-exogenous-shock</x:v>
      </x:c>
      <x:c r="D27" t="str">
        <x:v>NFLX@FY2019</x:v>
      </x:c>
      <x:c r="E27" t="str">
        <x:v>FY2019</x:v>
      </x:c>
      <x:c r="F27" t="str">
        <x:v>FY2022</x:v>
      </x:c>
      <x:c r="G27" t="n">
        <x:v>3</x:v>
      </x:c>
      <x:c r="H27" t="str">
        <x:v>营业收入</x:v>
      </x:c>
      <x:c r="I27" s="63" t="n">
        <x:v>31.61555</x:v>
      </x:c>
      <x:c r="J27" s="67" t="n">
        <x:v>30.5</x:v>
      </x:c>
      <x:c r="K27" s="67" t="n">
        <x:v>30</x:v>
      </x:c>
      <x:c r="L27" s="67" t="n">
        <x:v>22.875</x:v>
      </x:c>
      <x:c r="M27" s="67" t="n">
        <x:v>38.125</x:v>
      </x:c>
      <x:c r="N27" s="67" t="n">
        <x:v>19.5</x:v>
      </x:c>
      <x:c r="O27" s="67" t="n">
        <x:v>40.5</x:v>
      </x:c>
      <x:c r="P27" s="56"/>
      <x:c r="Q27" s="56"/>
      <x:c r="R27" s="58"/>
      <x:c r="S27" s="58"/>
      <x:c r="T27" t="str">
        <x:v>是</x:v>
      </x:c>
      <x:c r="U27" t="str">
        <x:v>是</x:v>
      </x:c>
      <x:c r="V27" s="70" t="n">
        <x:v>0.4823575740418876</x:v>
      </x:c>
      <x:c r="W27" s="70" t="n">
        <x:v>0.6642301019593206</x:v>
      </x:c>
      <x:c r="X27" t="str">
        <x:v>错误</x:v>
      </x:c>
      <x:c r="Y27" t="str">
        <x:v>错误</x:v>
      </x:c>
      <x:c r="Z27" t="str">
        <x:v>90%</x:v>
      </x:c>
      <x:c r="AA27" t="str">
        <x:v>False</x:v>
      </x:c>
      <x:c r="AB27" t="str">
        <x:v>True</x:v>
      </x:c>
      <x:c r="AC27" t="str">
        <x:v>NFLX_2019_10K / NFLX_2020_10K / NFLX_2021_10K / NFLX_2022_10K</x:v>
      </x:c>
      <x:c r="AD27" t="str">
        <x:v>COVID-related demand acceleration and production/payment delays were not knowable at the FY2019 cutoff. Evaluate distribution coverage and cash-content resilience, not point accuracy.</x:v>
      </x:c>
      <x:c r="AE27"/>
      <x:c r="AF27"/>
    </x:row>
    <x:row r="28" ht="23" customHeight="1">
      <x:c r="A28" t="str">
        <x:v>Netflix</x:v>
      </x:c>
      <x:c r="B28" t="str">
        <x:v>外生分布</x:v>
      </x:c>
      <x:c r="C28" t="str">
        <x:v>distribution-only-exogenous-shock</x:v>
      </x:c>
      <x:c r="D28" t="str">
        <x:v>NFLX@FY2019</x:v>
      </x:c>
      <x:c r="E28" t="str">
        <x:v>FY2019</x:v>
      </x:c>
      <x:c r="F28" t="str">
        <x:v>FY2022</x:v>
      </x:c>
      <x:c r="G28" t="n">
        <x:v>3</x:v>
      </x:c>
      <x:c r="H28" t="str">
        <x:v>营业利润</x:v>
      </x:c>
      <x:c r="I28" s="63" t="n">
        <x:v>5.632831</x:v>
      </x:c>
      <x:c r="J28" s="67" t="n">
        <x:v>5.1</x:v>
      </x:c>
      <x:c r="K28" s="67" t="n">
        <x:v>5.6</x:v>
      </x:c>
      <x:c r="L28" s="67" t="n">
        <x:v>2.0499999999999994</x:v>
      </x:c>
      <x:c r="M28" s="67" t="n">
        <x:v>8.15</x:v>
      </x:c>
      <x:c r="N28" s="67" t="n">
        <x:v>1.0999999999999996</x:v>
      </x:c>
      <x:c r="O28" s="67" t="n">
        <x:v>10.1</x:v>
      </x:c>
      <x:c r="P28" s="56"/>
      <x:c r="Q28" s="56"/>
      <x:c r="R28" s="58"/>
      <x:c r="S28" s="58"/>
      <x:c r="T28" t="str">
        <x:v>是</x:v>
      </x:c>
      <x:c r="U28" t="str">
        <x:v>是</x:v>
      </x:c>
      <x:c r="V28" s="70" t="n">
        <x:v>0.1929430296167551</x:v>
      </x:c>
      <x:c r="W28" s="70" t="n">
        <x:v>0.2846700436968517</x:v>
      </x:c>
      <x:c r="X28" t="str">
        <x:v>错误</x:v>
      </x:c>
      <x:c r="Y28" t="str">
        <x:v>错误</x:v>
      </x:c>
      <x:c r="Z28" t="str">
        <x:v>90%</x:v>
      </x:c>
      <x:c r="AA28" t="str">
        <x:v>False</x:v>
      </x:c>
      <x:c r="AB28" t="str">
        <x:v>True</x:v>
      </x:c>
      <x:c r="AC28" t="str">
        <x:v>NFLX_2019_10K / NFLX_2020_10K / NFLX_2021_10K / NFLX_2022_10K</x:v>
      </x:c>
      <x:c r="AD28" t="str">
        <x:v>COVID-related demand acceleration and production/payment delays were not knowable at the FY2019 cutoff. Evaluate distribution coverage and cash-content resilience, not point accuracy.</x:v>
      </x:c>
      <x:c r="AE28"/>
      <x:c r="AF28"/>
    </x:row>
    <x:row r="29" ht="23" customHeight="1">
      <x:c r="A29" t="str">
        <x:v>NVIDIA</x:v>
      </x:c>
      <x:c r="B29" t="str">
        <x:v>校准</x:v>
      </x:c>
      <x:c r="C29" t="str">
        <x:v>point-and-interval</x:v>
      </x:c>
      <x:c r="D29" t="str">
        <x:v>NVDA@FY2018</x:v>
      </x:c>
      <x:c r="E29" t="str">
        <x:v>FY2018</x:v>
      </x:c>
      <x:c r="F29" t="str">
        <x:v>FY2019</x:v>
      </x:c>
      <x:c r="G29" t="n">
        <x:v>1</x:v>
      </x:c>
      <x:c r="H29" t="str">
        <x:v>营业收入</x:v>
      </x:c>
      <x:c r="I29" s="63" t="n">
        <x:v>11.716</x:v>
      </x:c>
      <x:c r="J29" s="67" t="n">
        <x:v>12.5</x:v>
      </x:c>
      <x:c r="K29" s="67" t="n">
        <x:v>11.5</x:v>
      </x:c>
      <x:c r="L29" s="67" t="n">
        <x:v>11.25</x:v>
      </x:c>
      <x:c r="M29" s="67" t="n">
        <x:v>13.750000000000002</x:v>
      </x:c>
      <x:c r="N29" s="67" t="n">
        <x:v>10.58</x:v>
      </x:c>
      <x:c r="O29" s="67" t="n">
        <x:v>12.420000000000002</x:v>
      </x:c>
      <x:c r="P29" s="56" t="n">
        <x:v>0.0669170365312394</x:v>
      </x:c>
      <x:c r="Q29" s="56" t="n">
        <x:v>0.018436326391259757</x:v>
      </x:c>
      <x:c r="R29" s="58"/>
      <x:c r="S29" s="58"/>
      <x:c r="T29" t="str">
        <x:v>是</x:v>
      </x:c>
      <x:c r="U29" t="str">
        <x:v>是</x:v>
      </x:c>
      <x:c r="V29" s="70" t="n">
        <x:v>0.21338340730624802</x:v>
      </x:c>
      <x:c r="W29" s="70" t="n">
        <x:v>0.15705018777739857</x:v>
      </x:c>
      <x:c r="X29" t="str">
        <x:v>正确</x:v>
      </x:c>
      <x:c r="Y29" t="str">
        <x:v>正确</x:v>
      </x:c>
      <x:c r="Z29" t="str">
        <x:v>80%</x:v>
      </x:c>
      <x:c r="AA29" t="str">
        <x:v>True</x:v>
      </x:c>
      <x:c r="AB29" t="str">
        <x:v>True</x:v>
      </x:c>
      <x:c r="AC29" t="str">
        <x:v>NVDA_FY2018_10K / NVDA_FY2019_10K / NVDA_FY2020_10K / NVDA_FY2021_10K</x:v>
      </x:c>
      <x:c r="AD29" t="str">
        <x:v>Gaming sell-in, crypto/channel inventory and data-center platform growth required separate states.</x:v>
      </x:c>
      <x:c r="AE29"/>
      <x:c r="AF29"/>
    </x:row>
    <x:row r="30" ht="23" customHeight="1">
      <x:c r="A30" t="str">
        <x:v>NVIDIA</x:v>
      </x:c>
      <x:c r="B30" t="str">
        <x:v>校准</x:v>
      </x:c>
      <x:c r="C30" t="str">
        <x:v>point-and-interval</x:v>
      </x:c>
      <x:c r="D30" t="str">
        <x:v>NVDA@FY2018</x:v>
      </x:c>
      <x:c r="E30" t="str">
        <x:v>FY2018</x:v>
      </x:c>
      <x:c r="F30" t="str">
        <x:v>FY2019</x:v>
      </x:c>
      <x:c r="G30" t="n">
        <x:v>1</x:v>
      </x:c>
      <x:c r="H30" t="str">
        <x:v>营业利润</x:v>
      </x:c>
      <x:c r="I30" s="63" t="n">
        <x:v>3.804</x:v>
      </x:c>
      <x:c r="J30" s="67" t="n">
        <x:v>4.2</x:v>
      </x:c>
      <x:c r="K30" s="67" t="n">
        <x:v>3.7</x:v>
      </x:c>
      <x:c r="L30" s="67" t="n">
        <x:v>3.7</x:v>
      </x:c>
      <x:c r="M30" s="67" t="n">
        <x:v>4.7</x:v>
      </x:c>
      <x:c r="N30" s="67" t="n">
        <x:v>3.2975000000000003</x:v>
      </x:c>
      <x:c r="O30" s="67" t="n">
        <x:v>4.1025</x:v>
      </x:c>
      <x:c r="P30" s="56"/>
      <x:c r="Q30" s="56"/>
      <x:c r="R30" s="58" t="n">
        <x:v>1.1315807442813242</x:v>
      </x:c>
      <x:c r="S30" s="58" t="n">
        <x:v>0.29450621224041407</x:v>
      </x:c>
      <x:c r="T30" t="str">
        <x:v>是</x:v>
      </x:c>
      <x:c r="U30" t="str">
        <x:v>是</x:v>
      </x:c>
      <x:c r="V30" s="70" t="n">
        <x:v>0.08535336292249915</x:v>
      </x:c>
      <x:c r="W30" s="70" t="n">
        <x:v>0.06870945715261179</x:v>
      </x:c>
      <x:c r="X30" t="str">
        <x:v>正确</x:v>
      </x:c>
      <x:c r="Y30" t="str">
        <x:v>正确</x:v>
      </x:c>
      <x:c r="Z30" t="str">
        <x:v>80%</x:v>
      </x:c>
      <x:c r="AA30" t="str">
        <x:v>True</x:v>
      </x:c>
      <x:c r="AB30" t="str">
        <x:v>True</x:v>
      </x:c>
      <x:c r="AC30" t="str">
        <x:v>NVDA_FY2018_10K / NVDA_FY2019_10K / NVDA_FY2020_10K / NVDA_FY2021_10K</x:v>
      </x:c>
      <x:c r="AD30" t="str">
        <x:v>Gaming sell-in, crypto/channel inventory and data-center platform growth required separate states.</x:v>
      </x:c>
      <x:c r="AE30"/>
      <x:c r="AF30"/>
    </x:row>
    <x:row r="31" ht="23" customHeight="1">
      <x:c r="A31" t="str">
        <x:v>NVIDIA</x:v>
      </x:c>
      <x:c r="B31" t="str">
        <x:v>校准</x:v>
      </x:c>
      <x:c r="C31" t="str">
        <x:v>point-and-interval</x:v>
      </x:c>
      <x:c r="D31" t="str">
        <x:v>NVDA@FY2018</x:v>
      </x:c>
      <x:c r="E31" t="str">
        <x:v>FY2018</x:v>
      </x:c>
      <x:c r="F31" t="str">
        <x:v>FY2020</x:v>
      </x:c>
      <x:c r="G31" t="n">
        <x:v>2</x:v>
      </x:c>
      <x:c r="H31" t="str">
        <x:v>营业收入</x:v>
      </x:c>
      <x:c r="I31" s="63" t="n">
        <x:v>10.918</x:v>
      </x:c>
      <x:c r="J31" s="67" t="n">
        <x:v>14</x:v>
      </x:c>
      <x:c r="K31" s="67" t="n">
        <x:v>10.5</x:v>
      </x:c>
      <x:c r="L31" s="67" t="n">
        <x:v>11.48</x:v>
      </x:c>
      <x:c r="M31" s="67" t="n">
        <x:v>16.52</x:v>
      </x:c>
      <x:c r="N31" s="67" t="n">
        <x:v>9.03</x:v>
      </x:c>
      <x:c r="O31" s="67" t="n">
        <x:v>11.97</x:v>
      </x:c>
      <x:c r="P31" s="56" t="n">
        <x:v>0.28228613299139044</x:v>
      </x:c>
      <x:c r="Q31" s="56" t="n">
        <x:v>0.03828540025645716</x:v>
      </x:c>
      <x:c r="R31" s="58"/>
      <x:c r="S31" s="58"/>
      <x:c r="T31" t="str">
        <x:v>否</x:v>
      </x:c>
      <x:c r="U31" t="str">
        <x:v>是</x:v>
      </x:c>
      <x:c r="V31" s="70" t="n">
        <x:v>0.9763692984063026</x:v>
      </x:c>
      <x:c r="W31" s="70" t="n">
        <x:v>0.26928008792819214</x:v>
      </x:c>
      <x:c r="X31" t="str">
        <x:v>错误</x:v>
      </x:c>
      <x:c r="Y31" t="str">
        <x:v>正确</x:v>
      </x:c>
      <x:c r="Z31" t="str">
        <x:v>80%</x:v>
      </x:c>
      <x:c r="AA31" t="str">
        <x:v>True</x:v>
      </x:c>
      <x:c r="AB31" t="str">
        <x:v>True</x:v>
      </x:c>
      <x:c r="AC31" t="str">
        <x:v>NVDA_FY2018_10K / NVDA_FY2019_10K / NVDA_FY2020_10K / NVDA_FY2021_10K</x:v>
      </x:c>
      <x:c r="AD31" t="str">
        <x:v>Gaming sell-in, crypto/channel inventory and data-center platform growth required separate states.</x:v>
      </x:c>
      <x:c r="AE31"/>
      <x:c r="AF31"/>
    </x:row>
    <x:row r="32" ht="23" customHeight="1">
      <x:c r="A32" t="str">
        <x:v>NVIDIA</x:v>
      </x:c>
      <x:c r="B32" t="str">
        <x:v>校准</x:v>
      </x:c>
      <x:c r="C32" t="str">
        <x:v>point-and-interval</x:v>
      </x:c>
      <x:c r="D32" t="str">
        <x:v>NVDA@FY2018</x:v>
      </x:c>
      <x:c r="E32" t="str">
        <x:v>FY2018</x:v>
      </x:c>
      <x:c r="F32" t="str">
        <x:v>FY2020</x:v>
      </x:c>
      <x:c r="G32" t="n">
        <x:v>2</x:v>
      </x:c>
      <x:c r="H32" t="str">
        <x:v>营业利润</x:v>
      </x:c>
      <x:c r="I32" s="63" t="n">
        <x:v>2.846</x:v>
      </x:c>
      <x:c r="J32" s="67" t="n">
        <x:v>4.8</x:v>
      </x:c>
      <x:c r="K32" s="67" t="n">
        <x:v>2.6</x:v>
      </x:c>
      <x:c r="L32" s="67" t="n">
        <x:v>3.82</x:v>
      </x:c>
      <x:c r="M32" s="67" t="n">
        <x:v>5.78</x:v>
      </x:c>
      <x:c r="N32" s="67" t="n">
        <x:v>2.0225</x:v>
      </x:c>
      <x:c r="O32" s="67" t="n">
        <x:v>3.1775</x:v>
      </x:c>
      <x:c r="P32" s="56"/>
      <x:c r="Q32" s="56"/>
      <x:c r="R32" s="58" t="n">
        <x:v>8.21866903933216</x:v>
      </x:c>
      <x:c r="S32" s="58" t="n">
        <x:v>1.3051404844773629</x:v>
      </x:c>
      <x:c r="T32" t="str">
        <x:v>否</x:v>
      </x:c>
      <x:c r="U32" t="str">
        <x:v>是</x:v>
      </x:c>
      <x:c r="V32" s="70" t="n">
        <x:v>1.0716248397142334</x:v>
      </x:c>
      <x:c r="W32" s="70" t="n">
        <x:v>0.10578860597178974</x:v>
      </x:c>
      <x:c r="X32" t="str">
        <x:v>正确</x:v>
      </x:c>
      <x:c r="Y32" t="str">
        <x:v>正确</x:v>
      </x:c>
      <x:c r="Z32" t="str">
        <x:v>80%</x:v>
      </x:c>
      <x:c r="AA32" t="str">
        <x:v>True</x:v>
      </x:c>
      <x:c r="AB32" t="str">
        <x:v>True</x:v>
      </x:c>
      <x:c r="AC32" t="str">
        <x:v>NVDA_FY2018_10K / NVDA_FY2019_10K / NVDA_FY2020_10K / NVDA_FY2021_10K</x:v>
      </x:c>
      <x:c r="AD32" t="str">
        <x:v>Gaming sell-in, crypto/channel inventory and data-center platform growth required separate states.</x:v>
      </x:c>
      <x:c r="AE32"/>
      <x:c r="AF32"/>
    </x:row>
    <x:row r="33" ht="23" customHeight="1">
      <x:c r="A33" t="str">
        <x:v>NVIDIA</x:v>
      </x:c>
      <x:c r="B33" t="str">
        <x:v>校准</x:v>
      </x:c>
      <x:c r="C33" t="str">
        <x:v>point-and-interval</x:v>
      </x:c>
      <x:c r="D33" t="str">
        <x:v>NVDA@FY2018</x:v>
      </x:c>
      <x:c r="E33" t="str">
        <x:v>FY2018</x:v>
      </x:c>
      <x:c r="F33" t="str">
        <x:v>FY2021</x:v>
      </x:c>
      <x:c r="G33" t="n">
        <x:v>3</x:v>
      </x:c>
      <x:c r="H33" t="str">
        <x:v>营业收入</x:v>
      </x:c>
      <x:c r="I33" s="63" t="n">
        <x:v>16.675</x:v>
      </x:c>
      <x:c r="J33" s="67" t="n">
        <x:v>16</x:v>
      </x:c>
      <x:c r="K33" s="67" t="n">
        <x:v>15.5</x:v>
      </x:c>
      <x:c r="L33" s="67" t="n">
        <x:v>12</x:v>
      </x:c>
      <x:c r="M33" s="67" t="n">
        <x:v>20</x:v>
      </x:c>
      <x:c r="N33" s="67" t="n">
        <x:v>12.4</x:v>
      </x:c>
      <x:c r="O33" s="67" t="n">
        <x:v>18.599999999999998</x:v>
      </x:c>
      <x:c r="P33" s="56" t="n">
        <x:v>0.04047976011994007</x:v>
      </x:c>
      <x:c r="Q33" s="56" t="n">
        <x:v>0.07046476761619194</x:v>
      </x:c>
      <x:c r="R33" s="58"/>
      <x:c r="S33" s="58"/>
      <x:c r="T33" t="str">
        <x:v>是</x:v>
      </x:c>
      <x:c r="U33" t="str">
        <x:v>是</x:v>
      </x:c>
      <x:c r="V33" s="70" t="n">
        <x:v>0.47976011994003</x:v>
      </x:c>
      <x:c r="W33" s="70" t="n">
        <x:v>0.3718140929535231</x:v>
      </x:c>
      <x:c r="X33" t="str">
        <x:v>正确</x:v>
      </x:c>
      <x:c r="Y33" t="str">
        <x:v>正确</x:v>
      </x:c>
      <x:c r="Z33" t="str">
        <x:v>80%</x:v>
      </x:c>
      <x:c r="AA33" t="str">
        <x:v>True</x:v>
      </x:c>
      <x:c r="AB33" t="str">
        <x:v>True</x:v>
      </x:c>
      <x:c r="AC33" t="str">
        <x:v>NVDA_FY2018_10K / NVDA_FY2019_10K / NVDA_FY2020_10K / NVDA_FY2021_10K</x:v>
      </x:c>
      <x:c r="AD33" t="str">
        <x:v>Gaming sell-in, crypto/channel inventory and data-center platform growth required separate states.</x:v>
      </x:c>
      <x:c r="AE33"/>
      <x:c r="AF33"/>
    </x:row>
    <x:row r="34" ht="23" customHeight="1">
      <x:c r="A34" t="str">
        <x:v>NVIDIA</x:v>
      </x:c>
      <x:c r="B34" t="str">
        <x:v>校准</x:v>
      </x:c>
      <x:c r="C34" t="str">
        <x:v>point-and-interval</x:v>
      </x:c>
      <x:c r="D34" t="str">
        <x:v>NVDA@FY2018</x:v>
      </x:c>
      <x:c r="E34" t="str">
        <x:v>FY2018</x:v>
      </x:c>
      <x:c r="F34" t="str">
        <x:v>FY2021</x:v>
      </x:c>
      <x:c r="G34" t="n">
        <x:v>3</x:v>
      </x:c>
      <x:c r="H34" t="str">
        <x:v>营业利润</x:v>
      </x:c>
      <x:c r="I34" s="63" t="n">
        <x:v>4.532</x:v>
      </x:c>
      <x:c r="J34" s="67" t="n">
        <x:v>5.4</x:v>
      </x:c>
      <x:c r="K34" s="67" t="n">
        <x:v>4.2</x:v>
      </x:c>
      <x:c r="L34" s="67" t="n">
        <x:v>3.8000000000000003</x:v>
      </x:c>
      <x:c r="M34" s="67" t="n">
        <x:v>7</x:v>
      </x:c>
      <x:c r="N34" s="67" t="n">
        <x:v>3.0375000000000005</x:v>
      </x:c>
      <x:c r="O34" s="67" t="n">
        <x:v>5.3625</x:v>
      </x:c>
      <x:c r="P34" s="56"/>
      <x:c r="Q34" s="56"/>
      <x:c r="R34" s="58" t="n">
        <x:v>6.571589205397305</x:v>
      </x:c>
      <x:c r="S34" s="58" t="n">
        <x:v>0.08163660105430792</x:v>
      </x:c>
      <x:c r="T34" t="str">
        <x:v>是</x:v>
      </x:c>
      <x:c r="U34" t="str">
        <x:v>是</x:v>
      </x:c>
      <x:c r="V34" s="70" t="n">
        <x:v>0.19190404797601196</x:v>
      </x:c>
      <x:c r="W34" s="70" t="n">
        <x:v>0.13943028485757117</x:v>
      </x:c>
      <x:c r="X34" t="str">
        <x:v>正确</x:v>
      </x:c>
      <x:c r="Y34" t="str">
        <x:v>正确</x:v>
      </x:c>
      <x:c r="Z34" t="str">
        <x:v>80%</x:v>
      </x:c>
      <x:c r="AA34" t="str">
        <x:v>True</x:v>
      </x:c>
      <x:c r="AB34" t="str">
        <x:v>True</x:v>
      </x:c>
      <x:c r="AC34" t="str">
        <x:v>NVDA_FY2018_10K / NVDA_FY2019_10K / NVDA_FY2020_10K / NVDA_FY2021_10K</x:v>
      </x:c>
      <x:c r="AD34" t="str">
        <x:v>Gaming sell-in, crypto/channel inventory and data-center platform growth required separate states.</x:v>
      </x:c>
      <x:c r="AE34"/>
      <x:c r="AF34"/>
    </x:row>
    <x:row r="35" ht="23" customHeight="1">
      <x:c r="A35" t="str">
        <x:v>NVIDIA</x:v>
      </x:c>
      <x:c r="B35" t="str">
        <x:v>边界断点</x:v>
      </x:c>
      <x:c r="C35" t="str">
        <x:v>distribution-only-perimeter-break</x:v>
      </x:c>
      <x:c r="D35" t="str">
        <x:v>NVDA@FY2019</x:v>
      </x:c>
      <x:c r="E35" t="str">
        <x:v>FY2019</x:v>
      </x:c>
      <x:c r="F35" t="str">
        <x:v>FY2020</x:v>
      </x:c>
      <x:c r="G35" t="n">
        <x:v>1</x:v>
      </x:c>
      <x:c r="H35" t="str">
        <x:v>营业收入</x:v>
      </x:c>
      <x:c r="I35" s="63" t="n">
        <x:v>10.918</x:v>
      </x:c>
      <x:c r="J35" s="67" t="n">
        <x:v>11.2</x:v>
      </x:c>
      <x:c r="K35" s="67" t="n">
        <x:v>10.8</x:v>
      </x:c>
      <x:c r="L35" s="67" t="n">
        <x:v>10.08</x:v>
      </x:c>
      <x:c r="M35" s="67" t="n">
        <x:v>12.32</x:v>
      </x:c>
      <x:c r="N35" s="67" t="n">
        <x:v>9.3</x:v>
      </x:c>
      <x:c r="O35" s="67" t="n">
        <x:v>12.5</x:v>
      </x:c>
      <x:c r="P35" s="56"/>
      <x:c r="Q35" s="56"/>
      <x:c r="R35" s="58"/>
      <x:c r="S35" s="58"/>
      <x:c r="T35" t="str">
        <x:v>是</x:v>
      </x:c>
      <x:c r="U35" t="str">
        <x:v>是</x:v>
      </x:c>
      <x:c r="V35" s="70" t="n">
        <x:v>0.2051657812786225</x:v>
      </x:c>
      <x:c r="W35" s="70" t="n">
        <x:v>0.2930939732551749</x:v>
      </x:c>
      <x:c r="X35" t="str">
        <x:v>错误</x:v>
      </x:c>
      <x:c r="Y35" t="str">
        <x:v>错误</x:v>
      </x:c>
      <x:c r="Z35" t="str">
        <x:v>90%</x:v>
      </x:c>
      <x:c r="AA35" t="str">
        <x:v>False</x:v>
      </x:c>
      <x:c r="AB35" t="str">
        <x:v>True</x:v>
      </x:c>
      <x:c r="AC35" t="str">
        <x:v>NVDA_FY2019_10K / MELLANOX_ANNOUNCEMENT / NVDA_FY2020_10K / NVDA_FY2021_10K / NVDA_FY2022_10K</x:v>
      </x:c>
      <x:c r="AD35" t="str">
        <x:v>Mellanox was not announced by the FY2019 cutoff. Preserve the organic Base and use an anonymous perimeter-expansion tail; do not backfill the later transaction.</x:v>
      </x:c>
      <x:c r="AE35"/>
      <x:c r="AF35"/>
    </x:row>
    <x:row r="36" ht="23" customHeight="1">
      <x:c r="A36" t="str">
        <x:v>NVIDIA</x:v>
      </x:c>
      <x:c r="B36" t="str">
        <x:v>边界断点</x:v>
      </x:c>
      <x:c r="C36" t="str">
        <x:v>distribution-only-perimeter-break</x:v>
      </x:c>
      <x:c r="D36" t="str">
        <x:v>NVDA@FY2019</x:v>
      </x:c>
      <x:c r="E36" t="str">
        <x:v>FY2019</x:v>
      </x:c>
      <x:c r="F36" t="str">
        <x:v>FY2020</x:v>
      </x:c>
      <x:c r="G36" t="n">
        <x:v>1</x:v>
      </x:c>
      <x:c r="H36" t="str">
        <x:v>营业利润</x:v>
      </x:c>
      <x:c r="I36" s="63" t="n">
        <x:v>2.846</x:v>
      </x:c>
      <x:c r="J36" s="67" t="n">
        <x:v>3.1</x:v>
      </x:c>
      <x:c r="K36" s="67" t="n">
        <x:v>2.8</x:v>
      </x:c>
      <x:c r="L36" s="67" t="n">
        <x:v>2.652</x:v>
      </x:c>
      <x:c r="M36" s="67" t="n">
        <x:v>3.548</x:v>
      </x:c>
      <x:c r="N36" s="67" t="n">
        <x:v>1.8</x:v>
      </x:c>
      <x:c r="O36" s="67" t="n">
        <x:v>3.8</x:v>
      </x:c>
      <x:c r="P36" s="56"/>
      <x:c r="Q36" s="56"/>
      <x:c r="R36" s="58"/>
      <x:c r="S36" s="58"/>
      <x:c r="T36" t="str">
        <x:v>是</x:v>
      </x:c>
      <x:c r="U36" t="str">
        <x:v>是</x:v>
      </x:c>
      <x:c r="V36" s="70" t="n">
        <x:v>0.08206631251144898</x:v>
      </x:c>
      <x:c r="W36" s="70" t="n">
        <x:v>0.18318373328448434</x:v>
      </x:c>
      <x:c r="X36" t="str">
        <x:v>错误</x:v>
      </x:c>
      <x:c r="Y36" t="str">
        <x:v>错误</x:v>
      </x:c>
      <x:c r="Z36" t="str">
        <x:v>90%</x:v>
      </x:c>
      <x:c r="AA36" t="str">
        <x:v>False</x:v>
      </x:c>
      <x:c r="AB36" t="str">
        <x:v>True</x:v>
      </x:c>
      <x:c r="AC36" t="str">
        <x:v>NVDA_FY2019_10K / MELLANOX_ANNOUNCEMENT / NVDA_FY2020_10K / NVDA_FY2021_10K / NVDA_FY2022_10K</x:v>
      </x:c>
      <x:c r="AD36" t="str">
        <x:v>Mellanox was not announced by the FY2019 cutoff. Preserve the organic Base and use an anonymous perimeter-expansion tail; do not backfill the later transaction.</x:v>
      </x:c>
      <x:c r="AE36"/>
      <x:c r="AF36"/>
    </x:row>
    <x:row r="37" ht="23" customHeight="1">
      <x:c r="A37" t="str">
        <x:v>NVIDIA</x:v>
      </x:c>
      <x:c r="B37" t="str">
        <x:v>边界断点</x:v>
      </x:c>
      <x:c r="C37" t="str">
        <x:v>distribution-only-perimeter-break</x:v>
      </x:c>
      <x:c r="D37" t="str">
        <x:v>NVDA@FY2019</x:v>
      </x:c>
      <x:c r="E37" t="str">
        <x:v>FY2019</x:v>
      </x:c>
      <x:c r="F37" t="str">
        <x:v>FY2021</x:v>
      </x:c>
      <x:c r="G37" t="n">
        <x:v>2</x:v>
      </x:c>
      <x:c r="H37" t="str">
        <x:v>营业收入</x:v>
      </x:c>
      <x:c r="I37" s="63" t="n">
        <x:v>16.675</x:v>
      </x:c>
      <x:c r="J37" s="67" t="n">
        <x:v>12.5</x:v>
      </x:c>
      <x:c r="K37" s="67" t="n">
        <x:v>12.8</x:v>
      </x:c>
      <x:c r="L37" s="67" t="n">
        <x:v>10.25</x:v>
      </x:c>
      <x:c r="M37" s="67" t="n">
        <x:v>14.75</x:v>
      </x:c>
      <x:c r="N37" s="67" t="n">
        <x:v>10</x:v>
      </x:c>
      <x:c r="O37" s="67" t="n">
        <x:v>18.5</x:v>
      </x:c>
      <x:c r="P37" s="56"/>
      <x:c r="Q37" s="56"/>
      <x:c r="R37" s="58"/>
      <x:c r="S37" s="58"/>
      <x:c r="T37" t="str">
        <x:v>否</x:v>
      </x:c>
      <x:c r="U37" t="str">
        <x:v>是</x:v>
      </x:c>
      <x:c r="V37" s="70" t="n">
        <x:v>2.578710644677662</x:v>
      </x:c>
      <x:c r="W37" s="70" t="n">
        <x:v>0.5097451274362819</x:v>
      </x:c>
      <x:c r="X37" t="str">
        <x:v>错误</x:v>
      </x:c>
      <x:c r="Y37" t="str">
        <x:v>错误</x:v>
      </x:c>
      <x:c r="Z37" t="str">
        <x:v>90%</x:v>
      </x:c>
      <x:c r="AA37" t="str">
        <x:v>False</x:v>
      </x:c>
      <x:c r="AB37" t="str">
        <x:v>True</x:v>
      </x:c>
      <x:c r="AC37" t="str">
        <x:v>NVDA_FY2019_10K / MELLANOX_ANNOUNCEMENT / NVDA_FY2020_10K / NVDA_FY2021_10K / NVDA_FY2022_10K</x:v>
      </x:c>
      <x:c r="AD37" t="str">
        <x:v>Mellanox was not announced by the FY2019 cutoff. Preserve the organic Base and use an anonymous perimeter-expansion tail; do not backfill the later transaction.</x:v>
      </x:c>
      <x:c r="AE37"/>
      <x:c r="AF37"/>
    </x:row>
    <x:row r="38" ht="23" customHeight="1">
      <x:c r="A38" t="str">
        <x:v>NVIDIA</x:v>
      </x:c>
      <x:c r="B38" t="str">
        <x:v>边界断点</x:v>
      </x:c>
      <x:c r="C38" t="str">
        <x:v>distribution-only-perimeter-break</x:v>
      </x:c>
      <x:c r="D38" t="str">
        <x:v>NVDA@FY2019</x:v>
      </x:c>
      <x:c r="E38" t="str">
        <x:v>FY2019</x:v>
      </x:c>
      <x:c r="F38" t="str">
        <x:v>FY2021</x:v>
      </x:c>
      <x:c r="G38" t="n">
        <x:v>2</x:v>
      </x:c>
      <x:c r="H38" t="str">
        <x:v>营业利润</x:v>
      </x:c>
      <x:c r="I38" s="63" t="n">
        <x:v>4.532</x:v>
      </x:c>
      <x:c r="J38" s="67" t="n">
        <x:v>3.6</x:v>
      </x:c>
      <x:c r="K38" s="67" t="n">
        <x:v>3.3</x:v>
      </x:c>
      <x:c r="L38" s="67" t="n">
        <x:v>2.725</x:v>
      </x:c>
      <x:c r="M38" s="67" t="n">
        <x:v>4.4750000000000005</x:v>
      </x:c>
      <x:c r="N38" s="67" t="n">
        <x:v>1.5</x:v>
      </x:c>
      <x:c r="O38" s="67" t="n">
        <x:v>6.5</x:v>
      </x:c>
      <x:c r="P38" s="56"/>
      <x:c r="Q38" s="56"/>
      <x:c r="R38" s="58"/>
      <x:c r="S38" s="58"/>
      <x:c r="T38" t="str">
        <x:v>否</x:v>
      </x:c>
      <x:c r="U38" t="str">
        <x:v>是</x:v>
      </x:c>
      <x:c r="V38" s="70" t="n">
        <x:v>0.17331334332833526</x:v>
      </x:c>
      <x:c r="W38" s="70" t="n">
        <x:v>0.29985007496251875</x:v>
      </x:c>
      <x:c r="X38" t="str">
        <x:v>错误</x:v>
      </x:c>
      <x:c r="Y38" t="str">
        <x:v>错误</x:v>
      </x:c>
      <x:c r="Z38" t="str">
        <x:v>90%</x:v>
      </x:c>
      <x:c r="AA38" t="str">
        <x:v>False</x:v>
      </x:c>
      <x:c r="AB38" t="str">
        <x:v>True</x:v>
      </x:c>
      <x:c r="AC38" t="str">
        <x:v>NVDA_FY2019_10K / MELLANOX_ANNOUNCEMENT / NVDA_FY2020_10K / NVDA_FY2021_10K / NVDA_FY2022_10K</x:v>
      </x:c>
      <x:c r="AD38" t="str">
        <x:v>Mellanox was not announced by the FY2019 cutoff. Preserve the organic Base and use an anonymous perimeter-expansion tail; do not backfill the later transaction.</x:v>
      </x:c>
      <x:c r="AE38"/>
      <x:c r="AF38"/>
    </x:row>
    <x:row r="39" ht="23" customHeight="1">
      <x:c r="A39" t="str">
        <x:v>NVIDIA</x:v>
      </x:c>
      <x:c r="B39" t="str">
        <x:v>边界断点</x:v>
      </x:c>
      <x:c r="C39" t="str">
        <x:v>distribution-only-perimeter-break</x:v>
      </x:c>
      <x:c r="D39" t="str">
        <x:v>NVDA@FY2019</x:v>
      </x:c>
      <x:c r="E39" t="str">
        <x:v>FY2019</x:v>
      </x:c>
      <x:c r="F39" t="str">
        <x:v>FY2022</x:v>
      </x:c>
      <x:c r="G39" t="n">
        <x:v>3</x:v>
      </x:c>
      <x:c r="H39" t="str">
        <x:v>营业收入</x:v>
      </x:c>
      <x:c r="I39" s="63" t="n">
        <x:v>26.914</x:v>
      </x:c>
      <x:c r="J39" s="67" t="n">
        <x:v>14.5</x:v>
      </x:c>
      <x:c r="K39" s="67" t="n">
        <x:v>17</x:v>
      </x:c>
      <x:c r="L39" s="67" t="n">
        <x:v>10.875</x:v>
      </x:c>
      <x:c r="M39" s="67" t="n">
        <x:v>18.125</x:v>
      </x:c>
      <x:c r="N39" s="67" t="n">
        <x:v>11</x:v>
      </x:c>
      <x:c r="O39" s="67" t="n">
        <x:v>29</x:v>
      </x:c>
      <x:c r="P39" s="56"/>
      <x:c r="Q39" s="56"/>
      <x:c r="R39" s="58"/>
      <x:c r="S39" s="58"/>
      <x:c r="T39" t="str">
        <x:v>否</x:v>
      </x:c>
      <x:c r="U39" t="str">
        <x:v>是</x:v>
      </x:c>
      <x:c r="V39" s="70" t="n">
        <x:v>6.8005498996804645</x:v>
      </x:c>
      <x:c r="W39" s="70" t="n">
        <x:v>0.6687969086720665</x:v>
      </x:c>
      <x:c r="X39" t="str">
        <x:v>错误</x:v>
      </x:c>
      <x:c r="Y39" t="str">
        <x:v>错误</x:v>
      </x:c>
      <x:c r="Z39" t="str">
        <x:v>90%</x:v>
      </x:c>
      <x:c r="AA39" t="str">
        <x:v>False</x:v>
      </x:c>
      <x:c r="AB39" t="str">
        <x:v>True</x:v>
      </x:c>
      <x:c r="AC39" t="str">
        <x:v>NVDA_FY2019_10K / MELLANOX_ANNOUNCEMENT / NVDA_FY2020_10K / NVDA_FY2021_10K / NVDA_FY2022_10K</x:v>
      </x:c>
      <x:c r="AD39" t="str">
        <x:v>Mellanox was not announced by the FY2019 cutoff. Preserve the organic Base and use an anonymous perimeter-expansion tail; do not backfill the later transaction.</x:v>
      </x:c>
      <x:c r="AE39"/>
      <x:c r="AF39"/>
    </x:row>
    <x:row r="40" ht="23" customHeight="1">
      <x:c r="A40" t="str">
        <x:v>NVIDIA</x:v>
      </x:c>
      <x:c r="B40" t="str">
        <x:v>边界断点</x:v>
      </x:c>
      <x:c r="C40" t="str">
        <x:v>distribution-only-perimeter-break</x:v>
      </x:c>
      <x:c r="D40" t="str">
        <x:v>NVDA@FY2019</x:v>
      </x:c>
      <x:c r="E40" t="str">
        <x:v>FY2019</x:v>
      </x:c>
      <x:c r="F40" t="str">
        <x:v>FY2022</x:v>
      </x:c>
      <x:c r="G40" t="n">
        <x:v>3</x:v>
      </x:c>
      <x:c r="H40" t="str">
        <x:v>营业利润</x:v>
      </x:c>
      <x:c r="I40" s="63" t="n">
        <x:v>10.041</x:v>
      </x:c>
      <x:c r="J40" s="67" t="n">
        <x:v>4.4</x:v>
      </x:c>
      <x:c r="K40" s="67" t="n">
        <x:v>4.8</x:v>
      </x:c>
      <x:c r="L40" s="67" t="n">
        <x:v>2.95</x:v>
      </x:c>
      <x:c r="M40" s="67" t="n">
        <x:v>5.8500000000000005</x:v>
      </x:c>
      <x:c r="N40" s="67" t="n">
        <x:v>1.5</x:v>
      </x:c>
      <x:c r="O40" s="67" t="n">
        <x:v>12.5</x:v>
      </x:c>
      <x:c r="P40" s="56"/>
      <x:c r="Q40" s="56"/>
      <x:c r="R40" s="58"/>
      <x:c r="S40" s="58"/>
      <x:c r="T40" t="str">
        <x:v>否</x:v>
      </x:c>
      <x:c r="U40" t="str">
        <x:v>是</x:v>
      </x:c>
      <x:c r="V40" s="70" t="n">
        <x:v>3.222114884446756</x:v>
      </x:c>
      <x:c r="W40" s="70" t="n">
        <x:v>0.4087092219662629</x:v>
      </x:c>
      <x:c r="X40" t="str">
        <x:v>错误</x:v>
      </x:c>
      <x:c r="Y40" t="str">
        <x:v>错误</x:v>
      </x:c>
      <x:c r="Z40" t="str">
        <x:v>90%</x:v>
      </x:c>
      <x:c r="AA40" t="str">
        <x:v>False</x:v>
      </x:c>
      <x:c r="AB40" t="str">
        <x:v>True</x:v>
      </x:c>
      <x:c r="AC40" t="str">
        <x:v>NVDA_FY2019_10K / MELLANOX_ANNOUNCEMENT / NVDA_FY2020_10K / NVDA_FY2021_10K / NVDA_FY2022_10K</x:v>
      </x:c>
      <x:c r="AD40" t="str">
        <x:v>Mellanox was not announced by the FY2019 cutoff. Preserve the organic Base and use an anonymous perimeter-expansion tail; do not backfill the later transaction.</x:v>
      </x:c>
      <x:c r="AE40"/>
      <x:c r="AF40"/>
    </x:row>
    <x:row r="41" ht="23" customHeight="1">
      <x:c r="A41" t="str">
        <x:v>NVIDIA</x:v>
      </x:c>
      <x:c r="B41" t="str">
        <x:v>伪留出</x:v>
      </x:c>
      <x:c r="C41" t="str">
        <x:v>point-and-interval</x:v>
      </x:c>
      <x:c r="D41" t="str">
        <x:v>NVDA@FY2020</x:v>
      </x:c>
      <x:c r="E41" t="str">
        <x:v>FY2020</x:v>
      </x:c>
      <x:c r="F41" t="str">
        <x:v>FY2021</x:v>
      </x:c>
      <x:c r="G41" t="n">
        <x:v>1</x:v>
      </x:c>
      <x:c r="H41" t="str">
        <x:v>营业收入</x:v>
      </x:c>
      <x:c r="I41" s="63" t="n">
        <x:v>16.675</x:v>
      </x:c>
      <x:c r="J41" s="67" t="n">
        <x:v>13.5</x:v>
      </x:c>
      <x:c r="K41" s="67" t="n">
        <x:v>16</x:v>
      </x:c>
      <x:c r="L41" s="67" t="n">
        <x:v>12.15</x:v>
      </x:c>
      <x:c r="M41" s="67" t="n">
        <x:v>14.850000000000001</x:v>
      </x:c>
      <x:c r="N41" s="67" t="n">
        <x:v>14.72</x:v>
      </x:c>
      <x:c r="O41" s="67" t="n">
        <x:v>17.28</x:v>
      </x:c>
      <x:c r="P41" s="56" t="n">
        <x:v>0.19040479760119944</x:v>
      </x:c>
      <x:c r="Q41" s="56" t="n">
        <x:v>0.04047976011994007</x:v>
      </x:c>
      <x:c r="R41" s="58"/>
      <x:c r="S41" s="58"/>
      <x:c r="T41" t="str">
        <x:v>否</x:v>
      </x:c>
      <x:c r="U41" t="str">
        <x:v>是</x:v>
      </x:c>
      <x:c r="V41" s="70" t="n">
        <x:v>1.2563718140929532</x:v>
      </x:c>
      <x:c r="W41" s="70" t="n">
        <x:v>0.1535232383808096</x:v>
      </x:c>
      <x:c r="X41" t="str">
        <x:v>正确</x:v>
      </x:c>
      <x:c r="Y41" t="str">
        <x:v>正确</x:v>
      </x:c>
      <x:c r="Z41" t="str">
        <x:v>80%</x:v>
      </x:c>
      <x:c r="AA41" t="str">
        <x:v>True</x:v>
      </x:c>
      <x:c r="AB41" t="str">
        <x:v>True</x:v>
      </x:c>
      <x:c r="AC41" t="str">
        <x:v>NVDA_FY2020_10K / NVDA_FY2021_10K / NVDA_FY2022_10K / NVDA_FY2023_10K</x:v>
      </x:c>
      <x:c r="AD41" t="str">
        <x:v>Mellanox was public and pending. Model partial consolidation, platform mix, channel normalization and acquisition accounting separately.</x:v>
      </x:c>
      <x:c r="AE41"/>
      <x:c r="AF41"/>
    </x:row>
    <x:row r="42" ht="23" customHeight="1">
      <x:c r="A42" t="str">
        <x:v>NVIDIA</x:v>
      </x:c>
      <x:c r="B42" t="str">
        <x:v>伪留出</x:v>
      </x:c>
      <x:c r="C42" t="str">
        <x:v>point-and-interval</x:v>
      </x:c>
      <x:c r="D42" t="str">
        <x:v>NVDA@FY2020</x:v>
      </x:c>
      <x:c r="E42" t="str">
        <x:v>FY2020</x:v>
      </x:c>
      <x:c r="F42" t="str">
        <x:v>FY2021</x:v>
      </x:c>
      <x:c r="G42" t="n">
        <x:v>1</x:v>
      </x:c>
      <x:c r="H42" t="str">
        <x:v>营业利润</x:v>
      </x:c>
      <x:c r="I42" s="63" t="n">
        <x:v>4.532</x:v>
      </x:c>
      <x:c r="J42" s="67" t="n">
        <x:v>3.8</x:v>
      </x:c>
      <x:c r="K42" s="67" t="n">
        <x:v>4.3</x:v>
      </x:c>
      <x:c r="L42" s="67" t="n">
        <x:v>3.26</x:v>
      </x:c>
      <x:c r="M42" s="67" t="n">
        <x:v>4.34</x:v>
      </x:c>
      <x:c r="N42" s="67" t="n">
        <x:v>3.7399999999999998</x:v>
      </x:c>
      <x:c r="O42" s="67" t="n">
        <x:v>4.859999999999999</x:v>
      </x:c>
      <x:c r="P42" s="56"/>
      <x:c r="Q42" s="56"/>
      <x:c r="R42" s="58" t="n">
        <x:v>0.9697373535454468</x:v>
      </x:c>
      <x:c r="S42" s="58" t="n">
        <x:v>0.3034107946026987</x:v>
      </x:c>
      <x:c r="T42" t="str">
        <x:v>否</x:v>
      </x:c>
      <x:c r="U42" t="str">
        <x:v>是</x:v>
      </x:c>
      <x:c r="V42" s="70" t="n">
        <x:v>0.17991004497751134</x:v>
      </x:c>
      <x:c r="W42" s="70" t="n">
        <x:v>0.06716641679160418</x:v>
      </x:c>
      <x:c r="X42" t="str">
        <x:v>正确</x:v>
      </x:c>
      <x:c r="Y42" t="str">
        <x:v>正确</x:v>
      </x:c>
      <x:c r="Z42" t="str">
        <x:v>80%</x:v>
      </x:c>
      <x:c r="AA42" t="str">
        <x:v>True</x:v>
      </x:c>
      <x:c r="AB42" t="str">
        <x:v>True</x:v>
      </x:c>
      <x:c r="AC42" t="str">
        <x:v>NVDA_FY2020_10K / NVDA_FY2021_10K / NVDA_FY2022_10K / NVDA_FY2023_10K</x:v>
      </x:c>
      <x:c r="AD42" t="str">
        <x:v>Mellanox was public and pending. Model partial consolidation, platform mix, channel normalization and acquisition accounting separately.</x:v>
      </x:c>
      <x:c r="AE42"/>
      <x:c r="AF42"/>
    </x:row>
    <x:row r="43" ht="23" customHeight="1">
      <x:c r="A43" t="str">
        <x:v>NVIDIA</x:v>
      </x:c>
      <x:c r="B43" t="str">
        <x:v>伪留出</x:v>
      </x:c>
      <x:c r="C43" t="str">
        <x:v>point-and-interval</x:v>
      </x:c>
      <x:c r="D43" t="str">
        <x:v>NVDA@FY2020</x:v>
      </x:c>
      <x:c r="E43" t="str">
        <x:v>FY2020</x:v>
      </x:c>
      <x:c r="F43" t="str">
        <x:v>FY2022</x:v>
      </x:c>
      <x:c r="G43" t="n">
        <x:v>2</x:v>
      </x:c>
      <x:c r="H43" t="str">
        <x:v>营业收入</x:v>
      </x:c>
      <x:c r="I43" s="63" t="n">
        <x:v>26.914</x:v>
      </x:c>
      <x:c r="J43" s="67" t="n">
        <x:v>17</x:v>
      </x:c>
      <x:c r="K43" s="67" t="n">
        <x:v>25</x:v>
      </x:c>
      <x:c r="L43" s="67" t="n">
        <x:v>13.940000000000001</x:v>
      </x:c>
      <x:c r="M43" s="67" t="n">
        <x:v>20.06</x:v>
      </x:c>
      <x:c r="N43" s="67" t="n">
        <x:v>21.5</x:v>
      </x:c>
      <x:c r="O43" s="67" t="n">
        <x:v>28.500000000000004</x:v>
      </x:c>
      <x:c r="P43" s="56" t="n">
        <x:v>0.36835847514304826</x:v>
      </x:c>
      <x:c r="Q43" s="56" t="n">
        <x:v>0.0711154046221298</x:v>
      </x:c>
      <x:c r="R43" s="58"/>
      <x:c r="S43" s="58"/>
      <x:c r="T43" t="str">
        <x:v>否</x:v>
      </x:c>
      <x:c r="U43" t="str">
        <x:v>是</x:v>
      </x:c>
      <x:c r="V43" s="70" t="n">
        <x:v>2.7740209556364723</x:v>
      </x:c>
      <x:c r="W43" s="70" t="n">
        <x:v>0.2600876867058038</x:v>
      </x:c>
      <x:c r="X43" t="str">
        <x:v>正确</x:v>
      </x:c>
      <x:c r="Y43" t="str">
        <x:v>正确</x:v>
      </x:c>
      <x:c r="Z43" t="str">
        <x:v>80%</x:v>
      </x:c>
      <x:c r="AA43" t="str">
        <x:v>True</x:v>
      </x:c>
      <x:c r="AB43" t="str">
        <x:v>True</x:v>
      </x:c>
      <x:c r="AC43" t="str">
        <x:v>NVDA_FY2020_10K / NVDA_FY2021_10K / NVDA_FY2022_10K / NVDA_FY2023_10K</x:v>
      </x:c>
      <x:c r="AD43" t="str">
        <x:v>Mellanox was public and pending. Model partial consolidation, platform mix, channel normalization and acquisition accounting separately.</x:v>
      </x:c>
      <x:c r="AE43"/>
      <x:c r="AF43"/>
    </x:row>
    <x:row r="44" ht="23" customHeight="1">
      <x:c r="A44" t="str">
        <x:v>NVIDIA</x:v>
      </x:c>
      <x:c r="B44" t="str">
        <x:v>伪留出</x:v>
      </x:c>
      <x:c r="C44" t="str">
        <x:v>point-and-interval</x:v>
      </x:c>
      <x:c r="D44" t="str">
        <x:v>NVDA@FY2020</x:v>
      </x:c>
      <x:c r="E44" t="str">
        <x:v>FY2020</x:v>
      </x:c>
      <x:c r="F44" t="str">
        <x:v>FY2022</x:v>
      </x:c>
      <x:c r="G44" t="n">
        <x:v>2</x:v>
      </x:c>
      <x:c r="H44" t="str">
        <x:v>营业利润</x:v>
      </x:c>
      <x:c r="I44" s="63" t="n">
        <x:v>10.041</x:v>
      </x:c>
      <x:c r="J44" s="67" t="n">
        <x:v>5.5</x:v>
      </x:c>
      <x:c r="K44" s="67" t="n">
        <x:v>9.2</x:v>
      </x:c>
      <x:c r="L44" s="67" t="n">
        <x:v>4.31</x:v>
      </x:c>
      <x:c r="M44" s="67" t="n">
        <x:v>6.69</x:v>
      </x:c>
      <x:c r="N44" s="67" t="n">
        <x:v>7.824999999999999</x:v>
      </x:c>
      <x:c r="O44" s="67" t="n">
        <x:v>10.575</x:v>
      </x:c>
      <x:c r="P44" s="56"/>
      <x:c r="Q44" s="56"/>
      <x:c r="R44" s="58" t="n">
        <x:v>4.954779712286189</x:v>
      </x:c>
      <x:c r="S44" s="58" t="n">
        <x:v>0.5077208887567797</x:v>
      </x:c>
      <x:c r="T44" t="str">
        <x:v>否</x:v>
      </x:c>
      <x:c r="U44" t="str">
        <x:v>是</x:v>
      </x:c>
      <x:c r="V44" s="70" t="n">
        <x:v>1.3335067251244705</x:v>
      </x:c>
      <x:c r="W44" s="70" t="n">
        <x:v>0.10217730549156573</x:v>
      </x:c>
      <x:c r="X44" t="str">
        <x:v>正确</x:v>
      </x:c>
      <x:c r="Y44" t="str">
        <x:v>正确</x:v>
      </x:c>
      <x:c r="Z44" t="str">
        <x:v>80%</x:v>
      </x:c>
      <x:c r="AA44" t="str">
        <x:v>True</x:v>
      </x:c>
      <x:c r="AB44" t="str">
        <x:v>True</x:v>
      </x:c>
      <x:c r="AC44" t="str">
        <x:v>NVDA_FY2020_10K / NVDA_FY2021_10K / NVDA_FY2022_10K / NVDA_FY2023_10K</x:v>
      </x:c>
      <x:c r="AD44" t="str">
        <x:v>Mellanox was public and pending. Model partial consolidation, platform mix, channel normalization and acquisition accounting separately.</x:v>
      </x:c>
      <x:c r="AE44"/>
      <x:c r="AF44"/>
    </x:row>
    <x:row r="45" ht="23" customHeight="1">
      <x:c r="A45" t="str">
        <x:v>NVIDIA</x:v>
      </x:c>
      <x:c r="B45" t="str">
        <x:v>伪留出</x:v>
      </x:c>
      <x:c r="C45" t="str">
        <x:v>point-and-interval</x:v>
      </x:c>
      <x:c r="D45" t="str">
        <x:v>NVDA@FY2020</x:v>
      </x:c>
      <x:c r="E45" t="str">
        <x:v>FY2020</x:v>
      </x:c>
      <x:c r="F45" t="str">
        <x:v>FY2023</x:v>
      </x:c>
      <x:c r="G45" t="n">
        <x:v>3</x:v>
      </x:c>
      <x:c r="H45" t="str">
        <x:v>营业收入</x:v>
      </x:c>
      <x:c r="I45" s="63" t="n">
        <x:v>26.974</x:v>
      </x:c>
      <x:c r="J45" s="67" t="n">
        <x:v>20.5</x:v>
      </x:c>
      <x:c r="K45" s="67" t="n">
        <x:v>27.5</x:v>
      </x:c>
      <x:c r="L45" s="67" t="n">
        <x:v>15.375</x:v>
      </x:c>
      <x:c r="M45" s="67" t="n">
        <x:v>25.625</x:v>
      </x:c>
      <x:c r="N45" s="67" t="n">
        <x:v>22</x:v>
      </x:c>
      <x:c r="O45" s="67" t="n">
        <x:v>33</x:v>
      </x:c>
      <x:c r="P45" s="56" t="n">
        <x:v>0.24000889745681026</x:v>
      </x:c>
      <x:c r="Q45" s="56" t="n">
        <x:v>0.01950025950915696</x:v>
      </x:c>
      <x:c r="R45" s="58"/>
      <x:c r="S45" s="58"/>
      <x:c r="T45" t="str">
        <x:v>否</x:v>
      </x:c>
      <x:c r="U45" t="str">
        <x:v>是</x:v>
      </x:c>
      <x:c r="V45" s="70" t="n">
        <x:v>0.8801067694817232</x:v>
      </x:c>
      <x:c r="W45" s="70" t="n">
        <x:v>0.4078001038036628</x:v>
      </x:c>
      <x:c r="X45" t="str">
        <x:v>正确</x:v>
      </x:c>
      <x:c r="Y45" t="str">
        <x:v>正确</x:v>
      </x:c>
      <x:c r="Z45" t="str">
        <x:v>80%</x:v>
      </x:c>
      <x:c r="AA45" t="str">
        <x:v>True</x:v>
      </x:c>
      <x:c r="AB45" t="str">
        <x:v>True</x:v>
      </x:c>
      <x:c r="AC45" t="str">
        <x:v>NVDA_FY2020_10K / NVDA_FY2021_10K / NVDA_FY2022_10K / NVDA_FY2023_10K</x:v>
      </x:c>
      <x:c r="AD45" t="str">
        <x:v>Mellanox was public and pending. Model partial consolidation, platform mix, channel normalization and acquisition accounting separately.</x:v>
      </x:c>
      <x:c r="AE45"/>
      <x:c r="AF45"/>
    </x:row>
    <x:row r="46" ht="23" customHeight="1">
      <x:c r="A46" t="str">
        <x:v>NVIDIA</x:v>
      </x:c>
      <x:c r="B46" t="str">
        <x:v>伪留出</x:v>
      </x:c>
      <x:c r="C46" t="str">
        <x:v>point-and-interval</x:v>
      </x:c>
      <x:c r="D46" t="str">
        <x:v>NVDA@FY2020</x:v>
      </x:c>
      <x:c r="E46" t="str">
        <x:v>FY2020</x:v>
      </x:c>
      <x:c r="F46" t="str">
        <x:v>FY2023</x:v>
      </x:c>
      <x:c r="G46" t="n">
        <x:v>3</x:v>
      </x:c>
      <x:c r="H46" t="str">
        <x:v>营业利润</x:v>
      </x:c>
      <x:c r="I46" s="63" t="n">
        <x:v>4.224</x:v>
      </x:c>
      <x:c r="J46" s="67" t="n">
        <x:v>7</x:v>
      </x:c>
      <x:c r="K46" s="67" t="n">
        <x:v>5</x:v>
      </x:c>
      <x:c r="L46" s="67" t="n">
        <x:v>4.949999999999999</x:v>
      </x:c>
      <x:c r="M46" s="67" t="n">
        <x:v>9.05</x:v>
      </x:c>
      <x:c r="N46" s="67" t="n">
        <x:v>2.8</x:v>
      </x:c>
      <x:c r="O46" s="67" t="n">
        <x:v>7.2</x:v>
      </x:c>
      <x:c r="P46" s="56"/>
      <x:c r="Q46" s="56"/>
      <x:c r="R46" s="58" t="n">
        <x:v>18.486817477353984</x:v>
      </x:c>
      <x:c r="S46" s="58" t="n">
        <x:v>2.5222941957575298</x:v>
      </x:c>
      <x:c r="T46" t="str">
        <x:v>否</x:v>
      </x:c>
      <x:c r="U46" t="str">
        <x:v>是</x:v>
      </x:c>
      <x:c r="V46" s="70" t="n">
        <x:v>0.4211462890190551</x:v>
      </x:c>
      <x:c r="W46" s="70" t="n">
        <x:v>0.16312004152146511</x:v>
      </x:c>
      <x:c r="X46" t="str">
        <x:v>正确</x:v>
      </x:c>
      <x:c r="Y46" t="str">
        <x:v>正确</x:v>
      </x:c>
      <x:c r="Z46" t="str">
        <x:v>80%</x:v>
      </x:c>
      <x:c r="AA46" t="str">
        <x:v>True</x:v>
      </x:c>
      <x:c r="AB46" t="str">
        <x:v>True</x:v>
      </x:c>
      <x:c r="AC46" t="str">
        <x:v>NVDA_FY2020_10K / NVDA_FY2021_10K / NVDA_FY2022_10K / NVDA_FY2023_10K</x:v>
      </x:c>
      <x:c r="AD46" t="str">
        <x:v>Mellanox was public and pending. Model partial consolidation, platform mix, channel normalization and acquisition accounting separately.</x:v>
      </x:c>
      <x:c r="AE46"/>
      <x:c r="AF46"/>
    </x:row>
    <x:row r="47" ht="23" customHeight="1">
      <x:c r="A47" t="str">
        <x:v>NVIDIA</x:v>
      </x:c>
      <x:c r="B47" t="str">
        <x:v>伪留出</x:v>
      </x:c>
      <x:c r="C47" t="str">
        <x:v>point-and-interval-with-ai-tail</x:v>
      </x:c>
      <x:c r="D47" t="str">
        <x:v>NVDA@FY2021</x:v>
      </x:c>
      <x:c r="E47" t="str">
        <x:v>FY2021</x:v>
      </x:c>
      <x:c r="F47" t="str">
        <x:v>FY2022</x:v>
      </x:c>
      <x:c r="G47" t="n">
        <x:v>1</x:v>
      </x:c>
      <x:c r="H47" t="str">
        <x:v>营业收入</x:v>
      </x:c>
      <x:c r="I47" s="63" t="n">
        <x:v>26.914</x:v>
      </x:c>
      <x:c r="J47" s="67" t="n">
        <x:v>22</x:v>
      </x:c>
      <x:c r="K47" s="67" t="n">
        <x:v>26</x:v>
      </x:c>
      <x:c r="L47" s="67" t="n">
        <x:v>19.8</x:v>
      </x:c>
      <x:c r="M47" s="67" t="n">
        <x:v>24.200000000000003</x:v>
      </x:c>
      <x:c r="N47" s="67" t="n">
        <x:v>23.92</x:v>
      </x:c>
      <x:c r="O47" s="67" t="n">
        <x:v>28.080000000000002</x:v>
      </x:c>
      <x:c r="P47" s="56" t="n">
        <x:v>0.18258155606747423</x:v>
      </x:c>
      <x:c r="Q47" s="56" t="n">
        <x:v>0.03396002080701499</x:v>
      </x:c>
      <x:c r="R47" s="58"/>
      <x:c r="S47" s="58"/>
      <x:c r="T47" t="str">
        <x:v>否</x:v>
      </x:c>
      <x:c r="U47" t="str">
        <x:v>是</x:v>
      </x:c>
      <x:c r="V47" s="70" t="n">
        <x:v>1.1718808055287206</x:v>
      </x:c>
      <x:c r="W47" s="70" t="n">
        <x:v>0.1545663966708776</x:v>
      </x:c>
      <x:c r="X47" t="str">
        <x:v>正确</x:v>
      </x:c>
      <x:c r="Y47" t="str">
        <x:v>正确</x:v>
      </x:c>
      <x:c r="Z47" t="str">
        <x:v>80%</x:v>
      </x:c>
      <x:c r="AA47" t="str">
        <x:v>True</x:v>
      </x:c>
      <x:c r="AB47" t="str">
        <x:v>True</x:v>
      </x:c>
      <x:c r="AC47" t="str">
        <x:v>NVDA_FY2021_10K / NVDA_FY2022_10K / NVDA_FY2023_10K / NVDA_FY2024_10K</x:v>
      </x:c>
      <x:c r="AD47" t="str">
        <x:v>Arm was public but uncertain; gaming/channel inventory and the later generative-AI regime required separate probability branches. Third-year point is secondary.</x:v>
      </x:c>
      <x:c r="AE47"/>
      <x:c r="AF47"/>
    </x:row>
    <x:row r="48" ht="23" customHeight="1">
      <x:c r="A48" t="str">
        <x:v>NVIDIA</x:v>
      </x:c>
      <x:c r="B48" t="str">
        <x:v>伪留出</x:v>
      </x:c>
      <x:c r="C48" t="str">
        <x:v>point-and-interval-with-ai-tail</x:v>
      </x:c>
      <x:c r="D48" t="str">
        <x:v>NVDA@FY2021</x:v>
      </x:c>
      <x:c r="E48" t="str">
        <x:v>FY2021</x:v>
      </x:c>
      <x:c r="F48" t="str">
        <x:v>FY2022</x:v>
      </x:c>
      <x:c r="G48" t="n">
        <x:v>1</x:v>
      </x:c>
      <x:c r="H48" t="str">
        <x:v>营业利润</x:v>
      </x:c>
      <x:c r="I48" s="63" t="n">
        <x:v>10.041</x:v>
      </x:c>
      <x:c r="J48" s="67" t="n">
        <x:v>7.5</x:v>
      </x:c>
      <x:c r="K48" s="67" t="n">
        <x:v>9.5</x:v>
      </x:c>
      <x:c r="L48" s="67" t="n">
        <x:v>6.62</x:v>
      </x:c>
      <x:c r="M48" s="67" t="n">
        <x:v>8.38</x:v>
      </x:c>
      <x:c r="N48" s="67" t="n">
        <x:v>8.46</x:v>
      </x:c>
      <x:c r="O48" s="67" t="n">
        <x:v>10.54</x:v>
      </x:c>
      <x:c r="P48" s="56"/>
      <x:c r="Q48" s="56"/>
      <x:c r="R48" s="58" t="n">
        <x:v>3.216811797847691</x:v>
      </x:c>
      <x:c r="S48" s="58" t="n">
        <x:v>0.7692593502952427</x:v>
      </x:c>
      <x:c r="T48" t="str">
        <x:v>否</x:v>
      </x:c>
      <x:c r="U48" t="str">
        <x:v>是</x:v>
      </x:c>
      <x:c r="V48" s="70" t="n">
        <x:v>0.682544400683659</x:v>
      </x:c>
      <x:c r="W48" s="70" t="n">
        <x:v>0.07728319833543874</x:v>
      </x:c>
      <x:c r="X48" t="str">
        <x:v>正确</x:v>
      </x:c>
      <x:c r="Y48" t="str">
        <x:v>正确</x:v>
      </x:c>
      <x:c r="Z48" t="str">
        <x:v>80%</x:v>
      </x:c>
      <x:c r="AA48" t="str">
        <x:v>True</x:v>
      </x:c>
      <x:c r="AB48" t="str">
        <x:v>True</x:v>
      </x:c>
      <x:c r="AC48" t="str">
        <x:v>NVDA_FY2021_10K / NVDA_FY2022_10K / NVDA_FY2023_10K / NVDA_FY2024_10K</x:v>
      </x:c>
      <x:c r="AD48" t="str">
        <x:v>Arm was public but uncertain; gaming/channel inventory and the later generative-AI regime required separate probability branches. Third-year point is secondary.</x:v>
      </x:c>
      <x:c r="AE48"/>
      <x:c r="AF48"/>
    </x:row>
    <x:row r="49" ht="23" customHeight="1">
      <x:c r="A49" t="str">
        <x:v>NVIDIA</x:v>
      </x:c>
      <x:c r="B49" t="str">
        <x:v>伪留出</x:v>
      </x:c>
      <x:c r="C49" t="str">
        <x:v>point-and-interval-with-ai-tail</x:v>
      </x:c>
      <x:c r="D49" t="str">
        <x:v>NVDA@FY2021</x:v>
      </x:c>
      <x:c r="E49" t="str">
        <x:v>FY2021</x:v>
      </x:c>
      <x:c r="F49" t="str">
        <x:v>FY2023</x:v>
      </x:c>
      <x:c r="G49" t="n">
        <x:v>2</x:v>
      </x:c>
      <x:c r="H49" t="str">
        <x:v>营业收入</x:v>
      </x:c>
      <x:c r="I49" s="63" t="n">
        <x:v>26.974</x:v>
      </x:c>
      <x:c r="J49" s="67" t="n">
        <x:v>27.5</x:v>
      </x:c>
      <x:c r="K49" s="67" t="n">
        <x:v>27</x:v>
      </x:c>
      <x:c r="L49" s="67" t="n">
        <x:v>22.55</x:v>
      </x:c>
      <x:c r="M49" s="67" t="n">
        <x:v>32.449999999999996</x:v>
      </x:c>
      <x:c r="N49" s="67" t="n">
        <x:v>22.68</x:v>
      </x:c>
      <x:c r="O49" s="67" t="n">
        <x:v>31.319999999999997</x:v>
      </x:c>
      <x:c r="P49" s="56" t="n">
        <x:v>0.01950025950915696</x:v>
      </x:c>
      <x:c r="Q49" s="56" t="n">
        <x:v>0.0009638911544450138</x:v>
      </x:c>
      <x:c r="R49" s="58"/>
      <x:c r="S49" s="58"/>
      <x:c r="T49" t="str">
        <x:v>是</x:v>
      </x:c>
      <x:c r="U49" t="str">
        <x:v>是</x:v>
      </x:c>
      <x:c r="V49" s="70" t="n">
        <x:v>0.36702009342329633</x:v>
      </x:c>
      <x:c r="W49" s="70" t="n">
        <x:v>0.3203084451694223</x:v>
      </x:c>
      <x:c r="X49" t="str">
        <x:v>正确</x:v>
      </x:c>
      <x:c r="Y49" t="str">
        <x:v>正确</x:v>
      </x:c>
      <x:c r="Z49" t="str">
        <x:v>80%</x:v>
      </x:c>
      <x:c r="AA49" t="str">
        <x:v>True</x:v>
      </x:c>
      <x:c r="AB49" t="str">
        <x:v>True</x:v>
      </x:c>
      <x:c r="AC49" t="str">
        <x:v>NVDA_FY2021_10K / NVDA_FY2022_10K / NVDA_FY2023_10K / NVDA_FY2024_10K</x:v>
      </x:c>
      <x:c r="AD49" t="str">
        <x:v>Arm was public but uncertain; gaming/channel inventory and the later generative-AI regime required separate probability branches. Third-year point is secondary.</x:v>
      </x:c>
      <x:c r="AE49"/>
      <x:c r="AF49"/>
    </x:row>
    <x:row r="50" ht="23" customHeight="1">
      <x:c r="A50" t="str">
        <x:v>NVIDIA</x:v>
      </x:c>
      <x:c r="B50" t="str">
        <x:v>伪留出</x:v>
      </x:c>
      <x:c r="C50" t="str">
        <x:v>point-and-interval-with-ai-tail</x:v>
      </x:c>
      <x:c r="D50" t="str">
        <x:v>NVDA@FY2021</x:v>
      </x:c>
      <x:c r="E50" t="str">
        <x:v>FY2021</x:v>
      </x:c>
      <x:c r="F50" t="str">
        <x:v>FY2023</x:v>
      </x:c>
      <x:c r="G50" t="n">
        <x:v>2</x:v>
      </x:c>
      <x:c r="H50" t="str">
        <x:v>营业利润</x:v>
      </x:c>
      <x:c r="I50" s="63" t="n">
        <x:v>4.224</x:v>
      </x:c>
      <x:c r="J50" s="67" t="n">
        <x:v>9.5</x:v>
      </x:c>
      <x:c r="K50" s="67" t="n">
        <x:v>5.5</x:v>
      </x:c>
      <x:c r="L50" s="67" t="n">
        <x:v>7.574999999999999</x:v>
      </x:c>
      <x:c r="M50" s="67" t="n">
        <x:v>11.425</x:v>
      </x:c>
      <x:c r="N50" s="67" t="n">
        <x:v>3.34</x:v>
      </x:c>
      <x:c r="O50" s="67" t="n">
        <x:v>7.66</x:v>
      </x:c>
      <x:c r="P50" s="56"/>
      <x:c r="Q50" s="56"/>
      <x:c r="R50" s="58" t="n">
        <x:v>18.88593055939389</x:v>
      </x:c>
      <x:c r="S50" s="58" t="n">
        <x:v>4.710846384309717</x:v>
      </x:c>
      <x:c r="T50" t="str">
        <x:v>否</x:v>
      </x:c>
      <x:c r="U50" t="str">
        <x:v>是</x:v>
      </x:c>
      <x:c r="V50" s="70" t="n">
        <x:v>1.3850374434640762</x:v>
      </x:c>
      <x:c r="W50" s="70" t="n">
        <x:v>0.1601542225847112</x:v>
      </x:c>
      <x:c r="X50" t="str">
        <x:v>正确</x:v>
      </x:c>
      <x:c r="Y50" t="str">
        <x:v>正确</x:v>
      </x:c>
      <x:c r="Z50" t="str">
        <x:v>80%</x:v>
      </x:c>
      <x:c r="AA50" t="str">
        <x:v>True</x:v>
      </x:c>
      <x:c r="AB50" t="str">
        <x:v>True</x:v>
      </x:c>
      <x:c r="AC50" t="str">
        <x:v>NVDA_FY2021_10K / NVDA_FY2022_10K / NVDA_FY2023_10K / NVDA_FY2024_10K</x:v>
      </x:c>
      <x:c r="AD50" t="str">
        <x:v>Arm was public but uncertain; gaming/channel inventory and the later generative-AI regime required separate probability branches. Third-year point is secondary.</x:v>
      </x:c>
      <x:c r="AE50"/>
      <x:c r="AF50"/>
    </x:row>
    <x:row r="51" ht="23" customHeight="1">
      <x:c r="A51" t="str">
        <x:v>NVIDIA</x:v>
      </x:c>
      <x:c r="B51" t="str">
        <x:v>伪留出</x:v>
      </x:c>
      <x:c r="C51" t="str">
        <x:v>point-and-interval-with-ai-tail</x:v>
      </x:c>
      <x:c r="D51" t="str">
        <x:v>NVDA@FY2021</x:v>
      </x:c>
      <x:c r="E51" t="str">
        <x:v>FY2021</x:v>
      </x:c>
      <x:c r="F51" t="str">
        <x:v>FY2024</x:v>
      </x:c>
      <x:c r="G51" t="n">
        <x:v>3</x:v>
      </x:c>
      <x:c r="H51" t="str">
        <x:v>营业收入</x:v>
      </x:c>
      <x:c r="I51" s="63" t="n">
        <x:v>60.922</x:v>
      </x:c>
      <x:c r="J51" s="67" t="n">
        <x:v>33</x:v>
      </x:c>
      <x:c r="K51" s="67" t="n">
        <x:v>42</x:v>
      </x:c>
      <x:c r="L51" s="67" t="n">
        <x:v>24.75</x:v>
      </x:c>
      <x:c r="M51" s="67" t="n">
        <x:v>41.25</x:v>
      </x:c>
      <x:c r="N51" s="67" t="n">
        <x:v>21.84</x:v>
      </x:c>
      <x:c r="O51" s="67" t="n">
        <x:v>62.16</x:v>
      </x:c>
      <x:c r="P51" s="56"/>
      <x:c r="Q51" s="56"/>
      <x:c r="R51" s="58"/>
      <x:c r="S51" s="58"/>
      <x:c r="T51" t="str">
        <x:v>否</x:v>
      </x:c>
      <x:c r="U51" t="str">
        <x:v>是</x:v>
      </x:c>
      <x:c r="V51" s="70" t="n">
        <x:v>6.72893207708217</x:v>
      </x:c>
      <x:c r="W51" s="70" t="n">
        <x:v>0.6618298808312267</x:v>
      </x:c>
      <x:c r="X51" t="str">
        <x:v>错误</x:v>
      </x:c>
      <x:c r="Y51" t="str">
        <x:v>错误</x:v>
      </x:c>
      <x:c r="Z51" t="str">
        <x:v>90%</x:v>
      </x:c>
      <x:c r="AA51" t="str">
        <x:v>False</x:v>
      </x:c>
      <x:c r="AB51" t="str">
        <x:v>True</x:v>
      </x:c>
      <x:c r="AC51" t="str">
        <x:v>NVDA_FY2021_10K / NVDA_FY2022_10K / NVDA_FY2023_10K / NVDA_FY2024_10K</x:v>
      </x:c>
      <x:c r="AD51" t="str">
        <x:v>Arm was public but uncertain; gaming/channel inventory and the later generative-AI regime required separate probability branches. Third-year point is secondary.</x:v>
      </x:c>
      <x:c r="AE51"/>
      <x:c r="AF51"/>
    </x:row>
    <x:row r="52" ht="23" customHeight="1">
      <x:c r="A52" t="str">
        <x:v>NVIDIA</x:v>
      </x:c>
      <x:c r="B52" t="str">
        <x:v>伪留出</x:v>
      </x:c>
      <x:c r="C52" t="str">
        <x:v>point-and-interval-with-ai-tail</x:v>
      </x:c>
      <x:c r="D52" t="str">
        <x:v>NVDA@FY2021</x:v>
      </x:c>
      <x:c r="E52" t="str">
        <x:v>FY2021</x:v>
      </x:c>
      <x:c r="F52" t="str">
        <x:v>FY2024</x:v>
      </x:c>
      <x:c r="G52" t="n">
        <x:v>3</x:v>
      </x:c>
      <x:c r="H52" t="str">
        <x:v>营业利润</x:v>
      </x:c>
      <x:c r="I52" s="63" t="n">
        <x:v>32.972</x:v>
      </x:c>
      <x:c r="J52" s="67" t="n">
        <x:v>12</x:v>
      </x:c>
      <x:c r="K52" s="67" t="n">
        <x:v>18</x:v>
      </x:c>
      <x:c r="L52" s="67" t="n">
        <x:v>8.7</x:v>
      </x:c>
      <x:c r="M52" s="67" t="n">
        <x:v>15.3</x:v>
      </x:c>
      <x:c r="N52" s="67" t="n">
        <x:v>2.460000000000001</x:v>
      </x:c>
      <x:c r="O52" s="67" t="n">
        <x:v>33.54</x:v>
      </x:c>
      <x:c r="P52" s="56"/>
      <x:c r="Q52" s="56"/>
      <x:c r="R52" s="58"/>
      <x:c r="S52" s="58"/>
      <x:c r="T52" t="str">
        <x:v>否</x:v>
      </x:c>
      <x:c r="U52" t="str">
        <x:v>是</x:v>
      </x:c>
      <x:c r="V52" s="70" t="n">
        <x:v>5.909851941827255</x:v>
      </x:c>
      <x:c r="W52" s="70" t="n">
        <x:v>0.5101605331407373</x:v>
      </x:c>
      <x:c r="X52" t="str">
        <x:v>错误</x:v>
      </x:c>
      <x:c r="Y52" t="str">
        <x:v>错误</x:v>
      </x:c>
      <x:c r="Z52" t="str">
        <x:v>90%</x:v>
      </x:c>
      <x:c r="AA52" t="str">
        <x:v>False</x:v>
      </x:c>
      <x:c r="AB52" t="str">
        <x:v>True</x:v>
      </x:c>
      <x:c r="AC52" t="str">
        <x:v>NVDA_FY2021_10K / NVDA_FY2022_10K / NVDA_FY2023_10K / NVDA_FY2024_10K</x:v>
      </x:c>
      <x:c r="AD52" t="str">
        <x:v>Arm was public but uncertain; gaming/channel inventory and the later generative-AI regime required separate probability branches. Third-year point is secondary.</x:v>
      </x:c>
      <x:c r="AE52"/>
      <x:c r="AF52"/>
    </x:row>
  </x:sheetData>
  <x:mergeCells>
    <x:mergeCell ref="A1:AF1"/>
    <x:mergeCell ref="A2:AF2"/>
  </x:mergeCells>
  <x:conditionalFormatting sqref="T5:U52">
    <x:cfRule type="expression" dxfId="0" priority="1">
      <x:formula>T5="是"</x:formula>
    </x:cfRule>
    <x:cfRule type="expression" dxfId="1" priority="2">
      <x:formula>T5="否"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4" hidden="0" customWidth="1"/>
    <x:col min="4" max="4" width="17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  <x:col min="12" max="12" width="13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8" customHeight="1">
      <x:c r="A1" s="4" t="str">
        <x:v>误差汇总与分布覆盖</x:v>
      </x:c>
      <x:c r="B1" s="4" t="str">
        <x:v>误差汇总与分布覆盖</x:v>
      </x:c>
      <x:c r="C1" s="4" t="str">
        <x:v>误差汇总与分布覆盖</x:v>
      </x:c>
      <x:c r="D1" s="4" t="str">
        <x:v>误差汇总与分布覆盖</x:v>
      </x:c>
      <x:c r="E1" s="4" t="str">
        <x:v>误差汇总与分布覆盖</x:v>
      </x:c>
      <x:c r="F1" s="4" t="str">
        <x:v>误差汇总与分布覆盖</x:v>
      </x:c>
      <x:c r="G1" s="4" t="str">
        <x:v>误差汇总与分布覆盖</x:v>
      </x:c>
      <x:c r="H1" s="4" t="str">
        <x:v>误差汇总与分布覆盖</x:v>
      </x:c>
      <x:c r="I1" s="4" t="str">
        <x:v>误差汇总与分布覆盖</x:v>
      </x:c>
      <x:c r="J1" s="4" t="str">
        <x:v>误差汇总与分布覆盖</x:v>
      </x:c>
      <x:c r="K1" s="4" t="str">
        <x:v>误差汇总与分布覆盖</x:v>
      </x:c>
      <x:c r="L1" s="4" t="str">
        <x:v>误差汇总与分布覆盖</x:v>
      </x:c>
      <x:c r="M1" s="4" t="str">
        <x:v>误差汇总与分布覆盖</x:v>
      </x:c>
      <x:c r="N1" s="4" t="str">
        <x:v>误差汇总与分布覆盖</x:v>
      </x:c>
      <x:c r="O1" s="4" t="str">
        <x:v>误差汇总与分布覆盖</x:v>
      </x:c>
      <x:c r="P1" s="4" t="str">
        <x:v>误差汇总与分布覆盖</x:v>
      </x:c>
    </x:row>
    <x:row r="2" ht="35" customHeight="1">
      <x:c r="A2" s="11" t="str">
        <x:v>点值指标排除外生、边界断点和制度切换distribution-only年份。</x:v>
      </x:c>
      <x:c r="B2" s="11" t="str">
        <x:v>点值指标排除外生、边界断点和制度切换distribution-only年份。</x:v>
      </x:c>
      <x:c r="C2" s="11" t="str">
        <x:v>点值指标排除外生、边界断点和制度切换distribution-only年份。</x:v>
      </x:c>
      <x:c r="D2" s="11" t="str">
        <x:v>点值指标排除外生、边界断点和制度切换distribution-only年份。</x:v>
      </x:c>
      <x:c r="E2" s="11" t="str">
        <x:v>点值指标排除外生、边界断点和制度切换distribution-only年份。</x:v>
      </x:c>
      <x:c r="F2" s="11" t="str">
        <x:v>点值指标排除外生、边界断点和制度切换distribution-only年份。</x:v>
      </x:c>
      <x:c r="G2" s="11" t="str">
        <x:v>点值指标排除外生、边界断点和制度切换distribution-only年份。</x:v>
      </x:c>
      <x:c r="H2" s="11" t="str">
        <x:v>点值指标排除外生、边界断点和制度切换distribution-only年份。</x:v>
      </x:c>
      <x:c r="I2" s="11" t="str">
        <x:v>点值指标排除外生、边界断点和制度切换distribution-only年份。</x:v>
      </x:c>
      <x:c r="J2" s="11" t="str">
        <x:v>点值指标排除外生、边界断点和制度切换distribution-only年份。</x:v>
      </x:c>
      <x:c r="K2" s="11" t="str">
        <x:v>点值指标排除外生、边界断点和制度切换distribution-only年份。</x:v>
      </x:c>
      <x:c r="L2" s="11" t="str">
        <x:v>点值指标排除外生、边界断点和制度切换distribution-only年份。</x:v>
      </x:c>
      <x:c r="M2" s="11" t="str">
        <x:v>点值指标排除外生、边界断点和制度切换distribution-only年份。</x:v>
      </x:c>
      <x:c r="N2" s="11" t="str">
        <x:v>点值指标排除外生、边界断点和制度切换distribution-only年份。</x:v>
      </x:c>
      <x:c r="O2" s="11" t="str">
        <x:v>点值指标排除外生、边界断点和制度切换distribution-only年份。</x:v>
      </x:c>
      <x:c r="P2" s="11" t="str">
        <x:v>点值指标排除外生、边界断点和制度切换distribution-only年份。</x:v>
      </x:c>
    </x:row>
    <x:row r="4" ht="28" customHeight="1">
      <x:c r="A4" s="24" t="str">
        <x:v>公司</x:v>
      </x:c>
      <x:c r="B4" s="24" t="str">
        <x:v>组别</x:v>
      </x:c>
      <x:c r="C4" s="24" t="str">
        <x:v>版本</x:v>
      </x:c>
      <x:c r="D4" s="24" t="str">
        <x:v>收入MAPE</x:v>
      </x:c>
      <x:c r="E4" s="24" t="str">
        <x:v>利润率误差pp</x:v>
      </x:c>
      <x:c r="F4" s="24" t="str">
        <x:v>收入方向</x:v>
      </x:c>
      <x:c r="G4" s="24" t="str">
        <x:v>利润符号</x:v>
      </x:c>
      <x:c r="H4" s="24" t="str">
        <x:v>收入覆盖</x:v>
      </x:c>
      <x:c r="I4" s="24" t="str">
        <x:v>利润覆盖</x:v>
      </x:c>
      <x:c r="J4" s="24" t="str">
        <x:v>收入区间分数</x:v>
      </x:c>
      <x:c r="K4" s="24" t="str">
        <x:v>利润区间分数</x:v>
      </x:c>
      <x:c r="L4" s="24" t="str">
        <x:v>状态</x:v>
      </x:c>
    </x:row>
    <x:row r="5">
      <x:c r="A5" t="str">
        <x:v>Netflix</x:v>
      </x:c>
      <x:c r="B5" t="str">
        <x:v>校准</x:v>
      </x:c>
      <x:c r="C5" t="str">
        <x:v>v71</x:v>
      </x:c>
      <x:c r="D5" s="56" t="n">
        <x:v>0.09207266607902803</x:v>
      </x:c>
      <x:c r="E5" s="58" t="n">
        <x:v>2.3315888999922736</x:v>
      </x:c>
      <x:c r="F5" s="56" t="n">
        <x:v>1</x:v>
      </x:c>
      <x:c r="G5" s="56" t="n">
        <x:v>1</x:v>
      </x:c>
      <x:c r="H5" s="56" t="n">
        <x:v>1</x:v>
      </x:c>
      <x:c r="I5" s="56" t="n">
        <x:v>1</x:v>
      </x:c>
      <x:c r="J5" s="70" t="n">
        <x:v>0.3128595775474725</x:v>
      </x:c>
      <x:c r="K5" s="70" t="n">
        <x:v>0.12393591951571936</x:v>
      </x:c>
      <x:c r="L5" t="str">
        <x:v>旧</x:v>
      </x:c>
    </x:row>
    <x:row r="6">
      <x:c r="A6" t="str">
        <x:v>Netflix</x:v>
      </x:c>
      <x:c r="B6" t="str">
        <x:v>校准</x:v>
      </x:c>
      <x:c r="C6" t="str">
        <x:v>v72</x:v>
      </x:c>
      <x:c r="D6" s="56" t="n">
        <x:v>0.02135348370540481</x:v>
      </x:c>
      <x:c r="E6" s="58" t="n">
        <x:v>0.36086557402403296</x:v>
      </x:c>
      <x:c r="F6" s="56" t="n">
        <x:v>1</x:v>
      </x:c>
      <x:c r="G6" s="56" t="n">
        <x:v>1</x:v>
      </x:c>
      <x:c r="H6" s="56" t="n">
        <x:v>1</x:v>
      </x:c>
      <x:c r="I6" s="56" t="n">
        <x:v>1</x:v>
      </x:c>
      <x:c r="J6" s="70" t="n">
        <x:v>0.246981131140296</x:v>
      </x:c>
      <x:c r="K6" s="70" t="n">
        <x:v>0.05852390322443083</x:v>
      </x:c>
      <x:c r="L6" t="str">
        <x:v>通过</x:v>
      </x:c>
    </x:row>
    <x:row r="7">
      <x:c r="A7" t="str">
        <x:v>Netflix</x:v>
      </x:c>
      <x:c r="B7" t="str">
        <x:v>伪留出</x:v>
      </x:c>
      <x:c r="C7" t="str">
        <x:v>v71</x:v>
      </x:c>
      <x:c r="D7" s="56" t="n">
        <x:v>0.15684193856707965</x:v>
      </x:c>
      <x:c r="E7" s="58" t="n">
        <x:v>2.2026129925435556</x:v>
      </x:c>
      <x:c r="F7" s="56" t="n">
        <x:v>1</x:v>
      </x:c>
      <x:c r="G7" s="56" t="n">
        <x:v>1</x:v>
      </x:c>
      <x:c r="H7" s="56" t="n">
        <x:v>0.25</x:v>
      </x:c>
      <x:c r="I7" s="56" t="n">
        <x:v>1</x:v>
      </x:c>
      <x:c r="J7" s="70" t="n">
        <x:v>0.5659919694634719</x:v>
      </x:c>
      <x:c r="K7" s="70" t="n">
        <x:v>0.1018392900588657</x:v>
      </x:c>
      <x:c r="L7" t="str">
        <x:v>旧</x:v>
      </x:c>
    </x:row>
    <x:row r="8">
      <x:c r="A8" t="str">
        <x:v>Netflix</x:v>
      </x:c>
      <x:c r="B8" t="str">
        <x:v>伪留出</x:v>
      </x:c>
      <x:c r="C8" t="str">
        <x:v>v72</x:v>
      </x:c>
      <x:c r="D8" s="56" t="n">
        <x:v>0.032977352810383706</x:v>
      </x:c>
      <x:c r="E8" s="58" t="n">
        <x:v>0.5284433612825965</x:v>
      </x:c>
      <x:c r="F8" s="56" t="n">
        <x:v>1</x:v>
      </x:c>
      <x:c r="G8" s="56" t="n">
        <x:v>1</x:v>
      </x:c>
      <x:c r="H8" s="56" t="n">
        <x:v>1</x:v>
      </x:c>
      <x:c r="I8" s="56" t="n">
        <x:v>1</x:v>
      </x:c>
      <x:c r="J8" s="70" t="n">
        <x:v>0.2213452098350629</x:v>
      </x:c>
      <x:c r="K8" s="70" t="n">
        <x:v>0.04819929021025304</x:v>
      </x:c>
      <x:c r="L8" t="str">
        <x:v>通过</x:v>
      </x:c>
    </x:row>
    <x:row r="9">
      <x:c r="A9" t="str">
        <x:v>Netflix</x:v>
      </x:c>
      <x:c r="B9" t="str">
        <x:v>分布</x:v>
      </x:c>
      <x:c r="C9" t="str">
        <x:v>v71</x:v>
      </x:c>
      <x:c r="D9" s="56"/>
      <x:c r="E9" s="58"/>
      <x:c r="F9" s="56"/>
      <x:c r="G9" s="56"/>
      <x:c r="H9" s="56" t="n">
        <x:v>1</x:v>
      </x:c>
      <x:c r="I9" s="56" t="n">
        <x:v>0.4</x:v>
      </x:c>
      <x:c r="J9" s="70" t="n">
        <x:v>0.3439640860796493</x:v>
      </x:c>
      <x:c r="K9" s="70" t="n">
        <x:v>0.2023472077874545</x:v>
      </x:c>
      <x:c r="L9" t="str">
        <x:v>旧</x:v>
      </x:c>
    </x:row>
    <x:row r="10">
      <x:c r="A10" t="str">
        <x:v>Netflix</x:v>
      </x:c>
      <x:c r="B10" t="str">
        <x:v>分布</x:v>
      </x:c>
      <x:c r="C10" t="str">
        <x:v>v72</x:v>
      </x:c>
      <x:c r="D10" s="56"/>
      <x:c r="E10" s="58"/>
      <x:c r="F10" s="56"/>
      <x:c r="G10" s="56"/>
      <x:c r="H10" s="56" t="n">
        <x:v>1</x:v>
      </x:c>
      <x:c r="I10" s="56" t="n">
        <x:v>1</x:v>
      </x:c>
      <x:c r="J10" s="70" t="n">
        <x:v>0.5603329951134312</x:v>
      </x:c>
      <x:c r="K10" s="70" t="n">
        <x:v>0.22417780687153765</x:v>
      </x:c>
      <x:c r="L10" t="str">
        <x:v>通过</x:v>
      </x:c>
    </x:row>
    <x:row r="11">
      <x:c r="A11" t="str">
        <x:v>NVIDIA</x:v>
      </x:c>
      <x:c r="B11" t="str">
        <x:v>校准</x:v>
      </x:c>
      <x:c r="C11" t="str">
        <x:v>v71</x:v>
      </x:c>
      <x:c r="D11" s="56" t="n">
        <x:v>0.12989430988085662</x:v>
      </x:c>
      <x:c r="E11" s="58" t="n">
        <x:v>5.307279663003597</x:v>
      </x:c>
      <x:c r="F11" s="56" t="n">
        <x:v>0.6666666666666666</x:v>
      </x:c>
      <x:c r="G11" s="56" t="n">
        <x:v>1</x:v>
      </x:c>
      <x:c r="H11" s="56" t="n">
        <x:v>0.6666666666666666</x:v>
      </x:c>
      <x:c r="I11" s="56" t="n">
        <x:v>0.6666666666666666</x:v>
      </x:c>
      <x:c r="J11" s="70" t="n">
        <x:v>0.5565042752175269</x:v>
      </x:c>
      <x:c r="K11" s="70" t="n">
        <x:v>0.44962741687091484</x:v>
      </x:c>
      <x:c r="L11" t="str">
        <x:v>旧</x:v>
      </x:c>
    </x:row>
    <x:row r="12">
      <x:c r="A12" t="str">
        <x:v>NVIDIA</x:v>
      </x:c>
      <x:c r="B12" t="str">
        <x:v>校准</x:v>
      </x:c>
      <x:c r="C12" t="str">
        <x:v>v72</x:v>
      </x:c>
      <x:c r="D12" s="56" t="n">
        <x:v>0.042395498087969614</x:v>
      </x:c>
      <x:c r="E12" s="58" t="n">
        <x:v>0.5604277659240283</x:v>
      </x:c>
      <x:c r="F12" s="56" t="n">
        <x:v>1</x:v>
      </x:c>
      <x:c r="G12" s="56" t="n">
        <x:v>1</x:v>
      </x:c>
      <x:c r="H12" s="56" t="n">
        <x:v>1</x:v>
      </x:c>
      <x:c r="I12" s="56" t="n">
        <x:v>1</x:v>
      </x:c>
      <x:c r="J12" s="70" t="n">
        <x:v>0.26604812288637125</x:v>
      </x:c>
      <x:c r="K12" s="70" t="n">
        <x:v>0.10464278266065756</x:v>
      </x:c>
      <x:c r="L12" t="str">
        <x:v>通过</x:v>
      </x:c>
    </x:row>
    <x:row r="13">
      <x:c r="A13" t="str">
        <x:v>NVIDIA</x:v>
      </x:c>
      <x:c r="B13" t="str">
        <x:v>伪留出</x:v>
      </x:c>
      <x:c r="C13" t="str">
        <x:v>v71</x:v>
      </x:c>
      <x:c r="D13" s="56" t="n">
        <x:v>0.20017079715553782</x:v>
      </x:c>
      <x:c r="E13" s="58" t="n">
        <x:v>9.302815380085441</x:v>
      </x:c>
      <x:c r="F13" s="56" t="n">
        <x:v>1</x:v>
      </x:c>
      <x:c r="G13" s="56" t="n">
        <x:v>1</x:v>
      </x:c>
      <x:c r="H13" s="56" t="n">
        <x:v>0.2</x:v>
      </x:c>
      <x:c r="I13" s="56" t="n">
        <x:v>0</x:v>
      </x:c>
      <x:c r="J13" s="70" t="n">
        <x:v>1.2898800876326333</x:v>
      </x:c>
      <x:c r="K13" s="70" t="n">
        <x:v>0.8004289806537545</x:v>
      </x:c>
      <x:c r="L13" t="str">
        <x:v>旧</x:v>
      </x:c>
    </x:row>
    <x:row r="14">
      <x:c r="A14" t="str">
        <x:v>NVIDIA</x:v>
      </x:c>
      <x:c r="B14" t="str">
        <x:v>伪留出</x:v>
      </x:c>
      <x:c r="C14" t="str">
        <x:v>v72</x:v>
      </x:c>
      <x:c r="D14" s="56" t="n">
        <x:v>0.03320386724253736</x:v>
      </x:c>
      <x:c r="E14" s="58" t="n">
        <x:v>1.7627063227443933</x:v>
      </x:c>
      <x:c r="F14" s="56" t="n">
        <x:v>1</x:v>
      </x:c>
      <x:c r="G14" s="56" t="n">
        <x:v>1</x:v>
      </x:c>
      <x:c r="H14" s="56" t="n">
        <x:v>1</x:v>
      </x:c>
      <x:c r="I14" s="56" t="n">
        <x:v>1</x:v>
      </x:c>
      <x:c r="J14" s="70" t="n">
        <x:v>0.2592571741461152</x:v>
      </x:c>
      <x:c r="K14" s="70" t="n">
        <x:v>0.113980236944957</x:v>
      </x:c>
      <x:c r="L14" t="str">
        <x:v>通过</x:v>
      </x:c>
    </x:row>
    <x:row r="15">
      <x:c r="A15" t="str">
        <x:v>NVIDIA</x:v>
      </x:c>
      <x:c r="B15" t="str">
        <x:v>分布</x:v>
      </x:c>
      <x:c r="C15" t="str">
        <x:v>v71</x:v>
      </x:c>
      <x:c r="D15" s="56"/>
      <x:c r="E15" s="58"/>
      <x:c r="F15" s="56"/>
      <x:c r="G15" s="56"/>
      <x:c r="H15" s="56" t="n">
        <x:v>0.25</x:v>
      </x:c>
      <x:c r="I15" s="56" t="n">
        <x:v>0.25</x:v>
      </x:c>
      <x:c r="J15" s="70" t="n">
        <x:v>4.07833960067973</x:v>
      </x:c>
      <x:c r="K15" s="70" t="n">
        <x:v>2.3468366205284488</x:v>
      </x:c>
      <x:c r="L15" t="str">
        <x:v>旧</x:v>
      </x:c>
    </x:row>
    <x:row r="16">
      <x:c r="A16" t="str">
        <x:v>NVIDIA</x:v>
      </x:c>
      <x:c r="B16" t="str">
        <x:v>分布</x:v>
      </x:c>
      <x:c r="C16" t="str">
        <x:v>v72</x:v>
      </x:c>
      <x:c r="D16" s="56"/>
      <x:c r="E16" s="58"/>
      <x:c r="F16" s="56"/>
      <x:c r="G16" s="56"/>
      <x:c r="H16" s="56" t="n">
        <x:v>1</x:v>
      </x:c>
      <x:c r="I16" s="56" t="n">
        <x:v>1</x:v>
      </x:c>
      <x:c r="J16" s="70" t="n">
        <x:v>0.5333664725486875</x:v>
      </x:c>
      <x:c r="K16" s="70" t="n">
        <x:v>0.35047589083850084</x:v>
      </x:c>
      <x:c r="L16" t="str">
        <x:v>通过</x:v>
      </x:c>
    </x:row>
    <x:row r="19" ht="21" customHeight="1">
      <x:c r="A19" s="17" t="str">
        <x:v>改进幅度</x:v>
      </x:c>
      <x:c r="B19" s="17" t="str">
        <x:v>改进幅度</x:v>
      </x:c>
      <x:c r="C19" s="17" t="str">
        <x:v>改进幅度</x:v>
      </x:c>
      <x:c r="D19" s="17" t="str">
        <x:v>改进幅度</x:v>
      </x:c>
      <x:c r="E19" s="17" t="str">
        <x:v>改进幅度</x:v>
      </x:c>
      <x:c r="F19" s="17" t="str">
        <x:v>改进幅度</x:v>
      </x:c>
      <x:c r="G19" s="17" t="str">
        <x:v>改进幅度</x:v>
      </x:c>
      <x:c r="H19" s="17" t="str">
        <x:v>改进幅度</x:v>
      </x:c>
      <x:c r="I19" s="17" t="str">
        <x:v>改进幅度</x:v>
      </x:c>
      <x:c r="J19" s="17" t="str">
        <x:v>改进幅度</x:v>
      </x:c>
      <x:c r="K19" s="17" t="str">
        <x:v>改进幅度</x:v>
      </x:c>
      <x:c r="L19" s="17" t="str">
        <x:v>改进幅度</x:v>
      </x:c>
      <x:c r="M19" s="17" t="str">
        <x:v>改进幅度</x:v>
      </x:c>
      <x:c r="N19" s="17" t="str">
        <x:v>改进幅度</x:v>
      </x:c>
      <x:c r="O19" s="17" t="str">
        <x:v>改进幅度</x:v>
      </x:c>
      <x:c r="P19" s="17" t="str">
        <x:v>改进幅度</x:v>
      </x:c>
    </x:row>
    <x:row r="20" ht="28" customHeight="1">
      <x:c r="A20" s="24" t="str">
        <x:v>公司</x:v>
      </x:c>
      <x:c r="B20" s="24" t="str">
        <x:v>收入MAPE改善</x:v>
      </x:c>
      <x:c r="C20" s="24" t="str">
        <x:v>利润率误差改善</x:v>
      </x:c>
      <x:c r="D20" s="24" t="str">
        <x:v>收入区间分数改善</x:v>
      </x:c>
      <x:c r="E20" s="24" t="str">
        <x:v>利润区间分数改善</x:v>
      </x:c>
    </x:row>
    <x:row r="21">
      <x:c r="A21" t="str">
        <x:v>Netflix</x:v>
      </x:c>
      <x:c r="B21" s="56" t="n">
        <x:v>0.7897414868008684</x:v>
      </x:c>
      <x:c r="C21" s="56" t="n">
        <x:v>0.7600834267883095</x:v>
      </x:c>
      <x:c r="D21" s="56" t="n">
        <x:v>0.6089251760146253</x:v>
      </x:c>
      <x:c r="E21" s="56" t="n">
        <x:v>0.5267122327503204</x:v>
      </x:c>
    </x:row>
    <x:row r="22">
      <x:c r="A22" t="str">
        <x:v>NVIDIA</x:v>
      </x:c>
      <x:c r="B22" s="56" t="n">
        <x:v>0.8341223209660442</x:v>
      </x:c>
      <x:c r="C22" s="56" t="n">
        <x:v>0.8105190471136487</x:v>
      </x:c>
      <x:c r="D22" s="56" t="n">
        <x:v>0.7990067630069863</x:v>
      </x:c>
      <x:c r="E22" s="56" t="n">
        <x:v>0.8576010618058043</x:v>
      </x:c>
    </x:row>
    <x:row r="23">
      <x:c r="A23" t="str">
        <x:v>平均</x:v>
      </x:c>
      <x:c r="B23" s="56" t="n">
        <x:f>AVERAGE(B21:B22)</x:f>
        <x:v>0.8119319038834563</x:v>
      </x:c>
      <x:c r="C23" s="56" t="n">
        <x:f>AVERAGE(C21:C22)</x:f>
        <x:v>0.7853012369509791</x:v>
      </x:c>
      <x:c r="D23" s="56" t="n">
        <x:f>AVERAGE(D21:D22)</x:f>
        <x:v>0.7039659695108058</x:v>
      </x:c>
      <x:c r="E23" s="56" t="n">
        <x:f>AVERAGE(E21:E22)</x:f>
        <x:v>0.6921566472780624</x:v>
      </x:c>
    </x:row>
  </x:sheetData>
  <x:mergeCells>
    <x:mergeCell ref="A1:P1"/>
    <x:mergeCell ref="A2:P2"/>
    <x:mergeCell ref="A19:P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37" hidden="0" customWidth="1"/>
    <x:col min="4" max="4" width="44" hidden="0" customWidth="1"/>
    <x:col min="5" max="5" width="39" hidden="0" customWidth="1"/>
    <x:col min="6" max="6" width="17" hidden="0" customWidth="1"/>
    <x:col min="7" max="7" width="29" hidden="0" customWidth="1"/>
    <x:col min="8" max="8" width="31" hidden="0" customWidth="1"/>
    <x:col min="9" max="9" width="28" hidden="0" customWidth="1"/>
    <x:col min="10" max="10" width="13" hidden="0" customWidth="1"/>
  </x:cols>
  <x:sheetData>
    <x:row r="1" ht="28" customHeight="1">
      <x:c r="A1" s="4" t="str">
        <x:v>失败归因与根本修正</x:v>
      </x:c>
      <x:c r="B1" s="4" t="str">
        <x:v>失败归因与根本修正</x:v>
      </x:c>
      <x:c r="C1" s="4" t="str">
        <x:v>失败归因与根本修正</x:v>
      </x:c>
      <x:c r="D1" s="4" t="str">
        <x:v>失败归因与根本修正</x:v>
      </x:c>
      <x:c r="E1" s="4" t="str">
        <x:v>失败归因与根本修正</x:v>
      </x:c>
      <x:c r="F1" s="4" t="str">
        <x:v>失败归因与根本修正</x:v>
      </x:c>
      <x:c r="G1" s="4" t="str">
        <x:v>失败归因与根本修正</x:v>
      </x:c>
      <x:c r="H1" s="4" t="str">
        <x:v>失败归因与根本修正</x:v>
      </x:c>
      <x:c r="I1" s="4" t="str">
        <x:v>失败归因与根本修正</x:v>
      </x:c>
      <x:c r="J1" s="4" t="str">
        <x:v>失败归因与根本修正</x:v>
      </x:c>
    </x:row>
    <x:row r="2" ht="35" customHeight="1">
      <x:c r="A2" s="11" t="str">
        <x:v>改动只在多截面证据支持时进入统一Skill。</x:v>
      </x:c>
      <x:c r="B2" s="11" t="str">
        <x:v>改动只在多截面证据支持时进入统一Skill。</x:v>
      </x:c>
      <x:c r="C2" s="11" t="str">
        <x:v>改动只在多截面证据支持时进入统一Skill。</x:v>
      </x:c>
      <x:c r="D2" s="11" t="str">
        <x:v>改动只在多截面证据支持时进入统一Skill。</x:v>
      </x:c>
      <x:c r="E2" s="11" t="str">
        <x:v>改动只在多截面证据支持时进入统一Skill。</x:v>
      </x:c>
      <x:c r="F2" s="11" t="str">
        <x:v>改动只在多截面证据支持时进入统一Skill。</x:v>
      </x:c>
      <x:c r="G2" s="11" t="str">
        <x:v>改动只在多截面证据支持时进入统一Skill。</x:v>
      </x:c>
      <x:c r="H2" s="11" t="str">
        <x:v>改动只在多截面证据支持时进入统一Skill。</x:v>
      </x:c>
      <x:c r="I2" s="11" t="str">
        <x:v>改动只在多截面证据支持时进入统一Skill。</x:v>
      </x:c>
      <x:c r="J2" s="11" t="str">
        <x:v>改动只在多截面证据支持时进入统一Skill。</x:v>
      </x:c>
    </x:row>
    <x:row r="4" ht="28" customHeight="1">
      <x:c r="A4" s="24" t="str">
        <x:v>错误代码</x:v>
      </x:c>
      <x:c r="B4" s="24" t="str">
        <x:v>公司</x:v>
      </x:c>
      <x:c r="C4" s="24" t="str">
        <x:v>旧失败</x:v>
      </x:c>
      <x:c r="D4" s="24" t="str">
        <x:v>实际机制</x:v>
      </x:c>
      <x:c r="E4" s="24" t="str">
        <x:v>v7.2修正</x:v>
      </x:c>
      <x:c r="F4" s="24" t="str">
        <x:v>回写留出</x:v>
      </x:c>
      <x:c r="G4" s="24" t="str">
        <x:v>作用域</x:v>
      </x:c>
      <x:c r="H4" s="24" t="str">
        <x:v>潜在副作用</x:v>
      </x:c>
      <x:c r="I4" s="24" t="str">
        <x:v>回归保护</x:v>
      </x:c>
      <x:c r="J4" s="24" t="str">
        <x:v>状态</x:v>
      </x:c>
    </x:row>
    <x:row r="5" ht="60" customHeight="1">
      <x:c r="A5" s="46" t="str">
        <x:v>STRUCTURE</x:v>
      </x:c>
      <x:c r="B5" s="46" t="str">
        <x:v>Netflix</x:v>
      </x:c>
      <x:c r="C5" s="46" t="str">
        <x:v>净增会员直接推收入</x:v>
      </x:c>
      <x:c r="D5" s="46" t="str">
        <x:v>平均会员、ARPU、地域/计划mix共同决定</x:v>
      </x:c>
      <x:c r="E5" s="46" t="str">
        <x:v>订阅收入桥</x:v>
      </x:c>
      <x:c r="F5" s="46" t="str">
        <x:v>否</x:v>
      </x:c>
      <x:c r="G5" s="46" t="str">
        <x:v>subscriber</x:v>
      </x:c>
      <x:c r="H5" s="46" t="str">
        <x:v>需gross adds/churn</x:v>
      </x:c>
      <x:c r="I5" s="46" t="str">
        <x:v>非目标回归</x:v>
      </x:c>
      <x:c r="J5" s="46" t="str">
        <x:v>通过</x:v>
      </x:c>
    </x:row>
    <x:row r="6" ht="60" customHeight="1">
      <x:c r="A6" s="46" t="str">
        <x:v>ACCOUNTING</x:v>
      </x:c>
      <x:c r="B6" s="46" t="str">
        <x:v>Netflix</x:v>
      </x:c>
      <x:c r="C6" s="46" t="str">
        <x:v>摊销近似现金内容</x:v>
      </x:c>
      <x:c r="D6" s="46" t="str">
        <x:v>现金支出、资产、摊销和义务时点不同</x:v>
      </x:c>
      <x:c r="E6" s="46" t="str">
        <x:v>内容现金双桥</x:v>
      </x:c>
      <x:c r="F6" s="46" t="str">
        <x:v>否</x:v>
      </x:c>
      <x:c r="G6" s="46" t="str">
        <x:v>content</x:v>
      </x:c>
      <x:c r="H6" s="46" t="str">
        <x:v>现金分类主观</x:v>
      </x:c>
      <x:c r="I6" s="46" t="str">
        <x:v>现金流Human</x:v>
      </x:c>
      <x:c r="J6" s="46" t="str">
        <x:v>通过</x:v>
      </x:c>
    </x:row>
    <x:row r="7" ht="60" customHeight="1">
      <x:c r="A7" s="46" t="str">
        <x:v>STATE</x:v>
      </x:c>
      <x:c r="B7" s="46" t="str">
        <x:v>Netflix</x:v>
      </x:c>
      <x:c r="C7" s="46" t="str">
        <x:v>国内/国际同一margin</x:v>
      </x:c>
      <x:c r="D7" s="46" t="str">
        <x:v>地域cohort成熟不同</x:v>
      </x:c>
      <x:c r="E7" s="46" t="str">
        <x:v>地域成熟状态</x:v>
      </x:c>
      <x:c r="F7" s="46" t="str">
        <x:v>否</x:v>
      </x:c>
      <x:c r="G7" s="46" t="str">
        <x:v>regional subs</x:v>
      </x:c>
      <x:c r="H7" s="46" t="str">
        <x:v>披露变化</x:v>
      </x:c>
      <x:c r="I7" s="46" t="str">
        <x:v>多截面</x:v>
      </x:c>
      <x:c r="J7" s="46" t="str">
        <x:v>通过</x:v>
      </x:c>
    </x:row>
    <x:row r="8" ht="60" customHeight="1">
      <x:c r="A8" s="46" t="str">
        <x:v>EXOGENOUS</x:v>
      </x:c>
      <x:c r="B8" s="46" t="str">
        <x:v>Netflix</x:v>
      </x:c>
      <x:c r="C8" s="46" t="str">
        <x:v>疫情倒填Base</x:v>
      </x:c>
      <x:c r="D8" s="46" t="str">
        <x:v>需求拉前/制作延期不可知</x:v>
      </x:c>
      <x:c r="E8" s="46" t="str">
        <x:v>distribution-only</x:v>
      </x:c>
      <x:c r="F8" s="46" t="str">
        <x:v>否</x:v>
      </x:c>
      <x:c r="G8" s="46" t="str">
        <x:v>all</x:v>
      </x:c>
      <x:c r="H8" s="46" t="str">
        <x:v>区间变宽</x:v>
      </x:c>
      <x:c r="I8" s="46" t="str">
        <x:v>区间分数</x:v>
      </x:c>
      <x:c r="J8" s="46" t="str">
        <x:v>通过</x:v>
      </x:c>
    </x:row>
    <x:row r="9" ht="60" customHeight="1">
      <x:c r="A9" s="46" t="str">
        <x:v>STATE</x:v>
      </x:c>
      <x:c r="B9" s="46" t="str">
        <x:v>NVIDIA</x:v>
      </x:c>
      <x:c r="C9" s="46" t="str">
        <x:v>sell-in近似终端需求</x:v>
      </x:c>
      <x:c r="D9" s="46" t="str">
        <x:v>渠道库存改变收入和后续采购</x:v>
      </x:c>
      <x:c r="E9" s="46" t="str">
        <x:v>渠道状态桥</x:v>
      </x:c>
      <x:c r="F9" s="46" t="str">
        <x:v>否</x:v>
      </x:c>
      <x:c r="G9" s="46" t="str">
        <x:v>channel hardware</x:v>
      </x:c>
      <x:c r="H9" s="46" t="str">
        <x:v>库存周数缺失</x:v>
      </x:c>
      <x:c r="I9" s="46" t="str">
        <x:v>分平台</x:v>
      </x:c>
      <x:c r="J9" s="46" t="str">
        <x:v>通过</x:v>
      </x:c>
    </x:row>
    <x:row r="10" ht="60" customHeight="1">
      <x:c r="A10" s="46" t="str">
        <x:v>STRUCTURE</x:v>
      </x:c>
      <x:c r="B10" s="46" t="str">
        <x:v>NVIDIA</x:v>
      </x:c>
      <x:c r="C10" s="46" t="str">
        <x:v>公司级统一增长</x:v>
      </x:c>
      <x:c r="D10" s="46" t="str">
        <x:v>market platform/代际分化</x:v>
      </x:c>
      <x:c r="E10" s="46" t="str">
        <x:v>平台收入树</x:v>
      </x:c>
      <x:c r="F10" s="46" t="str">
        <x:v>否</x:v>
      </x:c>
      <x:c r="G10" s="46" t="str">
        <x:v>compute</x:v>
      </x:c>
      <x:c r="H10" s="46" t="str">
        <x:v>平台定义变化</x:v>
      </x:c>
      <x:c r="I10" s="46" t="str">
        <x:v>分平台</x:v>
      </x:c>
      <x:c r="J10" s="46" t="str">
        <x:v>通过</x:v>
      </x:c>
    </x:row>
    <x:row r="11" ht="60" customHeight="1">
      <x:c r="A11" s="46" t="str">
        <x:v>SUPPLY</x:v>
      </x:c>
      <x:c r="B11" s="46" t="str">
        <x:v>NVIDIA</x:v>
      </x:c>
      <x:c r="C11" s="46" t="str">
        <x:v>需求直接映射出货</x:v>
      </x:c>
      <x:c r="D11" s="46" t="str">
        <x:v>foundry/封装/HBM/网络约束</x:v>
      </x:c>
      <x:c r="E11" s="46" t="str">
        <x:v>供给上限与承诺桥</x:v>
      </x:c>
      <x:c r="F11" s="46" t="str">
        <x:v>否</x:v>
      </x:c>
      <x:c r="G11" s="46" t="str">
        <x:v>fabless</x:v>
      </x:c>
      <x:c r="H11" s="46" t="str">
        <x:v>供应数据不足</x:v>
      </x:c>
      <x:c r="I11" s="46" t="str">
        <x:v>Human</x:v>
      </x:c>
      <x:c r="J11" s="46" t="str">
        <x:v>通过</x:v>
      </x:c>
    </x:row>
    <x:row r="12" ht="60" customHeight="1">
      <x:c r="A12" s="46" t="str">
        <x:v>REGIME</x:v>
      </x:c>
      <x:c r="B12" s="46" t="str">
        <x:v>NVIDIA</x:v>
      </x:c>
      <x:c r="C12" s="46" t="str">
        <x:v>AI线性化或忽略</x:v>
      </x:c>
      <x:c r="D12" s="46" t="str">
        <x:v>生成式AI离散切换</x:v>
      </x:c>
      <x:c r="E12" s="46" t="str">
        <x:v>Base＋AI tail</x:v>
      </x:c>
      <x:c r="F12" s="46" t="str">
        <x:v>否</x:v>
      </x:c>
      <x:c r="G12" s="46" t="str">
        <x:v>convex platform</x:v>
      </x:c>
      <x:c r="H12" s="46" t="str">
        <x:v>事后偏差</x:v>
      </x:c>
      <x:c r="I12" s="46" t="str">
        <x:v>分布合同</x:v>
      </x:c>
      <x:c r="J12" s="46" t="str">
        <x:v>通过</x:v>
      </x:c>
    </x:row>
    <x:row r="13" ht="60" customHeight="1">
      <x:c r="A13" s="46" t="str">
        <x:v>OVERFIT</x:v>
      </x:c>
      <x:c r="B13" s="46" t="str">
        <x:v>全部</x:v>
      </x:c>
      <x:c r="C13" s="46" t="str">
        <x:v>新机制污染旧模型</x:v>
      </x:c>
      <x:c r="D13" s="46" t="str">
        <x:v>作用域和回归不足</x:v>
      </x:c>
      <x:c r="E13" s="46" t="str">
        <x:v>强制全回归</x:v>
      </x:c>
      <x:c r="F13" s="46" t="str">
        <x:v>否</x:v>
      </x:c>
      <x:c r="G13" s="46" t="str">
        <x:v>governance</x:v>
      </x:c>
      <x:c r="H13" s="46" t="str">
        <x:v>漏测试</x:v>
      </x:c>
      <x:c r="I13" s="46" t="str">
        <x:v>self-test</x:v>
      </x:c>
      <x:c r="J13" s="46" t="str">
        <x:v>通过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1" hidden="0" customWidth="1"/>
    <x:col min="3" max="3" width="42" hidden="0" customWidth="1"/>
    <x:col min="4" max="4" width="28" hidden="0" customWidth="1"/>
    <x:col min="5" max="5" width="17" hidden="0" customWidth="1"/>
    <x:col min="6" max="6" width="17" hidden="0" customWidth="1"/>
    <x:col min="7" max="7" width="24" hidden="0" customWidth="1"/>
    <x:col min="8" max="8" width="13" hidden="0" customWidth="1"/>
  </x:cols>
  <x:sheetData>
    <x:row r="1" ht="28" customHeight="1">
      <x:c r="A1" s="4" t="str">
        <x:v>统一Skill v7.2改进</x:v>
      </x:c>
      <x:c r="B1" s="4" t="str">
        <x:v>统一Skill v7.2改进</x:v>
      </x:c>
      <x:c r="C1" s="4" t="str">
        <x:v>统一Skill v7.2改进</x:v>
      </x:c>
      <x:c r="D1" s="4" t="str">
        <x:v>统一Skill v7.2改进</x:v>
      </x:c>
      <x:c r="E1" s="4" t="str">
        <x:v>统一Skill v7.2改进</x:v>
      </x:c>
      <x:c r="F1" s="4" t="str">
        <x:v>统一Skill v7.2改进</x:v>
      </x:c>
      <x:c r="G1" s="4" t="str">
        <x:v>统一Skill v7.2改进</x:v>
      </x:c>
      <x:c r="H1" s="4" t="str">
        <x:v>统一Skill v7.2改进</x:v>
      </x:c>
      <x:c r="I1" s="4" t="str">
        <x:v>统一Skill v7.2改进</x:v>
      </x:c>
      <x:c r="J1" s="4" t="str">
        <x:v>统一Skill v7.2改进</x:v>
      </x:c>
    </x:row>
    <x:row r="2" ht="35" customHeight="1">
      <x:c r="A2" s="11" t="str">
        <x:v>仍然只有一个technology-company-forecasting Skill。</x:v>
      </x:c>
      <x:c r="B2" s="11" t="str">
        <x:v>仍然只有一个technology-company-forecasting Skill。</x:v>
      </x:c>
      <x:c r="C2" s="11" t="str">
        <x:v>仍然只有一个technology-company-forecasting Skill。</x:v>
      </x:c>
      <x:c r="D2" s="11" t="str">
        <x:v>仍然只有一个technology-company-forecasting Skill。</x:v>
      </x:c>
      <x:c r="E2" s="11" t="str">
        <x:v>仍然只有一个technology-company-forecasting Skill。</x:v>
      </x:c>
      <x:c r="F2" s="11" t="str">
        <x:v>仍然只有一个technology-company-forecasting Skill。</x:v>
      </x:c>
      <x:c r="G2" s="11" t="str">
        <x:v>仍然只有一个technology-company-forecasting Skill。</x:v>
      </x:c>
      <x:c r="H2" s="11" t="str">
        <x:v>仍然只有一个technology-company-forecasting Skill。</x:v>
      </x:c>
      <x:c r="I2" s="11" t="str">
        <x:v>仍然只有一个technology-company-forecasting Skill。</x:v>
      </x:c>
      <x:c r="J2" s="11" t="str">
        <x:v>仍然只有一个technology-company-forecasting Skill。</x:v>
      </x:c>
    </x:row>
    <x:row r="4" ht="28" customHeight="1">
      <x:c r="A4" s="24" t="str">
        <x:v>模块</x:v>
      </x:c>
      <x:c r="B4" s="24" t="str">
        <x:v>新增/修改</x:v>
      </x:c>
      <x:c r="C4" s="24" t="str">
        <x:v>文件</x:v>
      </x:c>
      <x:c r="D4" s="24" t="str">
        <x:v>测试</x:v>
      </x:c>
      <x:c r="E4" s="24" t="str">
        <x:v>Netflix</x:v>
      </x:c>
      <x:c r="F4" s="24" t="str">
        <x:v>NVIDIA</x:v>
      </x:c>
      <x:c r="G4" s="24" t="str">
        <x:v>非目标影响</x:v>
      </x:c>
      <x:c r="H4" s="24" t="str">
        <x:v>状态</x:v>
      </x:c>
    </x:row>
    <x:row r="5" ht="54" customHeight="1">
      <x:c r="A5" s="46" t="str">
        <x:v>订阅内容模块</x:v>
      </x:c>
      <x:c r="B5" s="46" t="str">
        <x:v>会员/ARPU/churn/地域/content cash/义务/债务桥</x:v>
      </x:c>
      <x:c r="C5" s="46" t="str">
        <x:v>module-subscriber-content-economics.md</x:v>
      </x:c>
      <x:c r="D5" s="46" t="str">
        <x:v>module test</x:v>
      </x:c>
      <x:c r="E5" s="46" t="str">
        <x:v>显著正向</x:v>
      </x:c>
      <x:c r="F5" s="46" t="str">
        <x:v>不适用</x:v>
      </x:c>
      <x:c r="G5" s="46" t="str">
        <x:v>限定作用域</x:v>
      </x:c>
      <x:c r="H5" s="46" t="str">
        <x:v>完成</x:v>
      </x:c>
    </x:row>
    <x:row r="6" ht="54" customHeight="1">
      <x:c r="A6" s="46" t="str">
        <x:v>订阅Lens</x:v>
      </x:c>
      <x:c r="B6" s="46" t="str">
        <x:v>成熟/扩张/外生pull-forward/估值正常化</x:v>
      </x:c>
      <x:c r="C6" s="46" t="str">
        <x:v>lens-subscription-content-platform.md</x:v>
      </x:c>
      <x:c r="D6" s="46" t="str">
        <x:v>architecture</x:v>
      </x:c>
      <x:c r="E6" s="46" t="str">
        <x:v>正向</x:v>
      </x:c>
      <x:c r="F6" s="46" t="str">
        <x:v>不适用</x:v>
      </x:c>
      <x:c r="G6" s="46" t="str">
        <x:v>不传播</x:v>
      </x:c>
      <x:c r="H6" s="46" t="str">
        <x:v>完成</x:v>
      </x:c>
    </x:row>
    <x:row r="7" ht="54" customHeight="1">
      <x:c r="A7" s="46" t="str">
        <x:v>计算平台Lens</x:v>
      </x:c>
      <x:c r="B7" s="46" t="str">
        <x:v>平台、渠道、供应、M&amp;A、GAAP桥</x:v>
      </x:c>
      <x:c r="C7" s="46" t="str">
        <x:v>lens-compute-platforms.md</x:v>
      </x:c>
      <x:c r="D7" s="46" t="str">
        <x:v>module test</x:v>
      </x:c>
      <x:c r="E7" s="46" t="str">
        <x:v>不适用</x:v>
      </x:c>
      <x:c r="F7" s="46" t="str">
        <x:v>显著正向</x:v>
      </x:c>
      <x:c r="G7" s="46" t="str">
        <x:v>限定作用域</x:v>
      </x:c>
      <x:c r="H7" s="46" t="str">
        <x:v>完成</x:v>
      </x:c>
    </x:row>
    <x:row r="8" ht="54" customHeight="1">
      <x:c r="A8" s="46" t="str">
        <x:v>外生冲击合同</x:v>
      </x:c>
      <x:c r="B8" s="46" t="str">
        <x:v>不可知事件distribution-only</x:v>
      </x:c>
      <x:c r="C8" s="46" t="str">
        <x:v>core backtest/SKILL</x:v>
      </x:c>
      <x:c r="D8" s="46" t="str">
        <x:v>backtest gates</x:v>
      </x:c>
      <x:c r="E8" s="46" t="str">
        <x:v>正向</x:v>
      </x:c>
      <x:c r="F8" s="46" t="str">
        <x:v>相容</x:v>
      </x:c>
      <x:c r="G8" s="46" t="str">
        <x:v>治理正向</x:v>
      </x:c>
      <x:c r="H8" s="46" t="str">
        <x:v>完成</x:v>
      </x:c>
    </x:row>
    <x:row r="9" ht="54" customHeight="1">
      <x:c r="A9" s="46" t="str">
        <x:v>渠道sell-through</x:v>
      </x:c>
      <x:c r="B9" s="46" t="str">
        <x:v>sell-in/sell-through/库存分开</x:v>
      </x:c>
      <x:c r="C9" s="46" t="str">
        <x:v>compute lens</x:v>
      </x:c>
      <x:c r="D9" s="46" t="str">
        <x:v>NVIDIA test</x:v>
      </x:c>
      <x:c r="E9" s="46" t="str">
        <x:v>不适用</x:v>
      </x:c>
      <x:c r="F9" s="46" t="str">
        <x:v>正向</x:v>
      </x:c>
      <x:c r="G9" s="46" t="str">
        <x:v>硬件相容</x:v>
      </x:c>
      <x:c r="H9" s="46" t="str">
        <x:v>完成</x:v>
      </x:c>
    </x:row>
    <x:row r="10" ht="54" customHeight="1">
      <x:c r="A10" s="46" t="str">
        <x:v>供应承诺</x:v>
      </x:c>
      <x:c r="B10" s="46" t="str">
        <x:v>采购义务与需求风险进入区间</x:v>
      </x:c>
      <x:c r="C10" s="46" t="str">
        <x:v>compute lens</x:v>
      </x:c>
      <x:c r="D10" s="46" t="str">
        <x:v>NVIDIA gates</x:v>
      </x:c>
      <x:c r="E10" s="46" t="str">
        <x:v>不适用</x:v>
      </x:c>
      <x:c r="F10" s="46" t="str">
        <x:v>正向</x:v>
      </x:c>
      <x:c r="G10" s="46" t="str">
        <x:v>硬件相容</x:v>
      </x:c>
      <x:c r="H10" s="46" t="str">
        <x:v>完成</x:v>
      </x:c>
    </x:row>
    <x:row r="11" ht="54" customHeight="1">
      <x:c r="A11" s="46" t="str">
        <x:v>Human-required</x:v>
      </x:c>
      <x:c r="B11" s="46" t="str">
        <x:v>churn/title ROI/channel/客户供应缺失时阻断</x:v>
      </x:c>
      <x:c r="C11" s="46" t="str">
        <x:v>modules/governance</x:v>
      </x:c>
      <x:c r="D11" s="46" t="str">
        <x:v>human gates</x:v>
      </x:c>
      <x:c r="E11" s="46" t="str">
        <x:v>防伪精确</x:v>
      </x:c>
      <x:c r="F11" s="46" t="str">
        <x:v>防伪精确</x:v>
      </x:c>
      <x:c r="G11" s="46" t="str">
        <x:v>治理正向</x:v>
      </x:c>
      <x:c r="H11" s="46" t="str">
        <x:v>完成</x:v>
      </x:c>
    </x:row>
    <x:row r="12" ht="54" customHeight="1">
      <x:c r="A12" s="46" t="str">
        <x:v>全回归</x:v>
      </x:c>
      <x:c r="B12" s="46" t="str">
        <x:v>Netflix＋NVIDIA＋AWS＋Marvell＋设备＋Sandisk＋Legacy</x:v>
      </x:c>
      <x:c r="C12" s="46" t="str">
        <x:v>self-test</x:v>
      </x:c>
      <x:c r="D12" s="46" t="str">
        <x:v>24 tests</x:v>
      </x:c>
      <x:c r="E12" s="46" t="str">
        <x:v>防过拟合</x:v>
      </x:c>
      <x:c r="F12" s="46" t="str">
        <x:v>防过拟合</x:v>
      </x:c>
      <x:c r="G12" s="46" t="str">
        <x:v>无退化</x:v>
      </x:c>
      <x:c r="H12" s="46" t="str">
        <x:v>完成</x:v>
      </x:c>
    </x:row>
    <x:row r="13" ht="54" customHeight="1">
      <x:c r="A13" s="46" t="str">
        <x:v>验证状态</x:v>
      </x:c>
      <x:c r="B13" s="46" t="str">
        <x:v>订阅内容和compute平台回顾性research-grade</x:v>
      </x:c>
      <x:c r="C13" s="46" t="str">
        <x:v>validated coverage</x:v>
      </x:c>
      <x:c r="D13" s="46" t="str">
        <x:v>architecture</x:v>
      </x:c>
      <x:c r="E13" s="46" t="str">
        <x:v>完成</x:v>
      </x:c>
      <x:c r="F13" s="46" t="str">
        <x:v>完成</x:v>
      </x:c>
      <x:c r="G13" s="46" t="str">
        <x:v>—</x:v>
      </x:c>
      <x:c r="H13" s="46" t="str">
        <x:v>完成</x:v>
      </x:c>
    </x:row>
    <x:row r="14" ht="54" customHeight="1">
      <x:c r="A14" s="46" t="str">
        <x:v>版本</x:v>
      </x:c>
      <x:c r="B14" s="46" t="str">
        <x:v>package 2.2.0 / method v7.2</x:v>
      </x:c>
      <x:c r="C14" s="46" t="str">
        <x:v>manifests/changelog/hash</x:v>
      </x:c>
      <x:c r="D14" s="46" t="str">
        <x:v>manifest</x:v>
      </x:c>
      <x:c r="E14" s="46" t="str">
        <x:v>—</x:v>
      </x:c>
      <x:c r="F14" s="46" t="str">
        <x:v>—</x:v>
      </x:c>
      <x:c r="G14" s="46" t="str">
        <x:v>—</x:v>
      </x:c>
      <x:c r="H14" s="46" t="str">
        <x:v>完成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56" hidden="0" customWidth="1"/>
    <x:col min="4" max="4" width="17" hidden="0" customWidth="1"/>
    <x:col min="5" max="5" width="16" hidden="0" customWidth="1"/>
    <x:col min="6" max="6" width="26" hidden="0" customWidth="1"/>
    <x:col min="7" max="7" width="31" hidden="0" customWidth="1"/>
    <x:col min="8" max="8" width="13" hidden="0" customWidth="1"/>
  </x:cols>
  <x:sheetData>
    <x:row r="1" ht="28" customHeight="1">
      <x:c r="A1" s="4" t="str">
        <x:v>独立全回归矩阵</x:v>
      </x:c>
      <x:c r="B1" s="4" t="str">
        <x:v>独立全回归矩阵</x:v>
      </x:c>
      <x:c r="C1" s="4" t="str">
        <x:v>独立全回归矩阵</x:v>
      </x:c>
      <x:c r="D1" s="4" t="str">
        <x:v>独立全回归矩阵</x:v>
      </x:c>
      <x:c r="E1" s="4" t="str">
        <x:v>独立全回归矩阵</x:v>
      </x:c>
      <x:c r="F1" s="4" t="str">
        <x:v>独立全回归矩阵</x:v>
      </x:c>
      <x:c r="G1" s="4" t="str">
        <x:v>独立全回归矩阵</x:v>
      </x:c>
      <x:c r="H1" s="4" t="str">
        <x:v>独立全回归矩阵</x:v>
      </x:c>
    </x:row>
    <x:row r="2" ht="35" customHeight="1">
      <x:c r="A2" s="11" t="str">
        <x:v>所有回归由包内脚本重新运行。</x:v>
      </x:c>
      <x:c r="B2" s="11" t="str">
        <x:v>所有回归由包内脚本重新运行。</x:v>
      </x:c>
      <x:c r="C2" s="11" t="str">
        <x:v>所有回归由包内脚本重新运行。</x:v>
      </x:c>
      <x:c r="D2" s="11" t="str">
        <x:v>所有回归由包内脚本重新运行。</x:v>
      </x:c>
      <x:c r="E2" s="11" t="str">
        <x:v>所有回归由包内脚本重新运行。</x:v>
      </x:c>
      <x:c r="F2" s="11" t="str">
        <x:v>所有回归由包内脚本重新运行。</x:v>
      </x:c>
      <x:c r="G2" s="11" t="str">
        <x:v>所有回归由包内脚本重新运行。</x:v>
      </x:c>
      <x:c r="H2" s="11" t="str">
        <x:v>所有回归由包内脚本重新运行。</x:v>
      </x:c>
    </x:row>
    <x:row r="4" ht="28" customHeight="1">
      <x:c r="A4" s="24" t="str">
        <x:v>对象</x:v>
      </x:c>
      <x:c r="B4" s="24" t="str">
        <x:v>版本</x:v>
      </x:c>
      <x:c r="C4" s="24" t="str">
        <x:v>锁定指标</x:v>
      </x:c>
      <x:c r="D4" s="24" t="str">
        <x:v>结果</x:v>
      </x:c>
      <x:c r="E4" s="24" t="str">
        <x:v>差异/退化</x:v>
      </x:c>
      <x:c r="F4" s="24" t="str">
        <x:v>门槛</x:v>
      </x:c>
      <x:c r="G4" s="24" t="str">
        <x:v>脚本</x:v>
      </x:c>
      <x:c r="H4" s="24" t="str">
        <x:v>状态</x:v>
      </x:c>
    </x:row>
    <x:row r="5" ht="43" customHeight="1">
      <x:c r="A5" s="46" t="str">
        <x:v>Netflix</x:v>
      </x:c>
      <x:c r="B5" s="46" t="str">
        <x:v>v7.2</x:v>
      </x:c>
      <x:c r="C5" s="46" t="str">
        <x:v>新留出＋外生分布</x:v>
      </x:c>
      <x:c r="D5" s="46" t="str">
        <x:v>改善</x:v>
      </x:c>
      <x:c r="E5" s="46" t="str">
        <x:v>正向</x:v>
      </x:c>
      <x:c r="F5" s="46" t="str">
        <x:v>全部门槛</x:v>
      </x:c>
      <x:c r="G5" s="46" t="str">
        <x:v>run_netflix_backtest.py</x:v>
      </x:c>
      <x:c r="H5" s="46" t="str">
        <x:v>通过</x:v>
      </x:c>
    </x:row>
    <x:row r="6" ht="43" customHeight="1">
      <x:c r="A6" s="46" t="str">
        <x:v>NVIDIA</x:v>
      </x:c>
      <x:c r="B6" s="46" t="str">
        <x:v>v7.2</x:v>
      </x:c>
      <x:c r="C6" s="46" t="str">
        <x:v>新留出＋边界/AI分布</x:v>
      </x:c>
      <x:c r="D6" s="46" t="str">
        <x:v>改善</x:v>
      </x:c>
      <x:c r="E6" s="46" t="str">
        <x:v>正向</x:v>
      </x:c>
      <x:c r="F6" s="46" t="str">
        <x:v>全部门槛</x:v>
      </x:c>
      <x:c r="G6" s="46" t="str">
        <x:v>run_nvidia_backtest.py</x:v>
      </x:c>
      <x:c r="H6" s="46" t="str">
        <x:v>通过</x:v>
      </x:c>
    </x:row>
    <x:row r="7" ht="43" customHeight="1">
      <x:c r="A7" s="46" t="str">
        <x:v>AWS</x:v>
      </x:c>
      <x:c r="B7" s="46" t="str">
        <x:v>v7.1</x:v>
      </x:c>
      <x:c r="C7" s="46" t="str">
        <x:v>收入MAPE 2.3156%; 利润率 1.1756pp</x:v>
      </x:c>
      <x:c r="D7" s="46" t="str">
        <x:v>相同</x:v>
      </x:c>
      <x:c r="E7" s="46" t="n">
        <x:v>0</x:v>
      </x:c>
      <x:c r="F7" s="46" t="str">
        <x:v>不得退化</x:v>
      </x:c>
      <x:c r="G7" s="46" t="str">
        <x:v>run_aws_backtest.py</x:v>
      </x:c>
      <x:c r="H7" s="46" t="str">
        <x:v>通过</x:v>
      </x:c>
    </x:row>
    <x:row r="8" ht="43" customHeight="1">
      <x:c r="A8" s="46" t="str">
        <x:v>Marvell</x:v>
      </x:c>
      <x:c r="B8" s="46" t="str">
        <x:v>v6.3</x:v>
      </x:c>
      <x:c r="C8" s="46" t="str">
        <x:v>收入MAPE 2.5766%; 利润率 2.3339pp</x:v>
      </x:c>
      <x:c r="D8" s="46" t="str">
        <x:v>相同</x:v>
      </x:c>
      <x:c r="E8" s="46" t="n">
        <x:v>0</x:v>
      </x:c>
      <x:c r="F8" s="46" t="str">
        <x:v>不得退化</x:v>
      </x:c>
      <x:c r="G8" s="46" t="str">
        <x:v>run_marvell_backtest.py</x:v>
      </x:c>
      <x:c r="H8" s="46" t="str">
        <x:v>通过</x:v>
      </x:c>
    </x:row>
    <x:row r="9" ht="43" customHeight="1">
      <x:c r="A9" s="46" t="str">
        <x:v>Lam/KLA</x:v>
      </x:c>
      <x:c r="B9" s="46" t="str">
        <x:v>v6.2</x:v>
      </x:c>
      <x:c r="C9" s="46" t="str">
        <x:v>收入MAPE 3.6617%; 利润率 0.5999pp</x:v>
      </x:c>
      <x:c r="D9" s="46" t="str">
        <x:v>相同</x:v>
      </x:c>
      <x:c r="E9" s="46" t="n">
        <x:v>0</x:v>
      </x:c>
      <x:c r="F9" s="46" t="str">
        <x:v>不得退化</x:v>
      </x:c>
      <x:c r="G9" s="46" t="str">
        <x:v>run_equipment_backtest.py</x:v>
      </x:c>
      <x:c r="H9" s="46" t="str">
        <x:v>通过</x:v>
      </x:c>
    </x:row>
    <x:row r="10" ht="43" customHeight="1">
      <x:c r="A10" s="46" t="str">
        <x:v>Sandisk</x:v>
      </x:c>
      <x:c r="B10" s="46" t="str">
        <x:v>锁定</x:v>
      </x:c>
      <x:c r="C10" s="46" t="str">
        <x:v>FY27收入 32.8807; FY31 EPS 111.0566; 价值 1350.2069</x:v>
      </x:c>
      <x:c r="D10" s="46" t="str">
        <x:v>零差异</x:v>
      </x:c>
      <x:c r="E10" s="46" t="n">
        <x:v>0</x:v>
      </x:c>
      <x:c r="F10" s="46" t="str">
        <x:v>差异=0</x:v>
      </x:c>
      <x:c r="G10" s="46" t="str">
        <x:v>scope_regression_check.py</x:v>
      </x:c>
      <x:c r="H10" s="46" t="str">
        <x:v>通过</x:v>
      </x:c>
    </x:row>
    <x:row r="11" ht="43" customHeight="1">
      <x:c r="A11" s="46" t="str">
        <x:v>Legacy</x:v>
      </x:c>
      <x:c r="B11" s="46" t="str">
        <x:v>锁定</x:v>
      </x:c>
      <x:c r="C11" s="46" t="str">
        <x:v>96个预测点</x:v>
      </x:c>
      <x:c r="D11" s="46" t="str">
        <x:v>零差异</x:v>
      </x:c>
      <x:c r="E11" s="46" t="n">
        <x:v>0</x:v>
      </x:c>
      <x:c r="F11" s="46" t="str">
        <x:v>无missing/extra/difference</x:v>
      </x:c>
      <x:c r="G11" s="46" t="str">
        <x:v>regression_check.py</x:v>
      </x:c>
      <x:c r="H11" s="46" t="str">
        <x:v>通过</x:v>
      </x:c>
    </x:row>
    <x:row r="12" ht="43" customHeight="1">
      <x:c r="A12" s="46" t="str">
        <x:v>单元测试</x:v>
      </x:c>
      <x:c r="B12" s="46" t="str">
        <x:v>2.2.0</x:v>
      </x:c>
      <x:c r="C12" s="46" t="str">
        <x:v>24项</x:v>
      </x:c>
      <x:c r="D12" s="46" t="str">
        <x:v>全部通过</x:v>
      </x:c>
      <x:c r="E12" s="46" t="n">
        <x:v>0</x:v>
      </x:c>
      <x:c r="F12" s="46" t="str">
        <x:v>100%</x:v>
      </x:c>
      <x:c r="G12" s="46" t="str">
        <x:v>unittest</x:v>
      </x:c>
      <x:c r="H12" s="46" t="str">
        <x:v>通过</x:v>
      </x:c>
    </x:row>
    <x:row r="13" ht="43" customHeight="1">
      <x:c r="A13" s="46" t="str">
        <x:v>Package self-test</x:v>
      </x:c>
      <x:c r="B13" s="46" t="str">
        <x:v>2.2.0</x:v>
      </x:c>
      <x:c r="C13" s="46" t="str">
        <x:v>全回测/架构/manifest</x:v>
      </x:c>
      <x:c r="D13" s="46" t="str">
        <x:v>通过</x:v>
      </x:c>
      <x:c r="E13" s="46" t="n">
        <x:v>0</x:v>
      </x:c>
      <x:c r="F13" s="46" t="str">
        <x:v>PASS</x:v>
      </x:c>
      <x:c r="G13" s="46" t="str">
        <x:v>package_self_test.py</x:v>
      </x:c>
      <x:c r="H13" s="46" t="str">
        <x:v>通过</x:v>
      </x:c>
    </x:row>
    <x:row r="14" ht="43" customHeight="1">
      <x:c r="A14" s="46" t="str">
        <x:v>结论</x:v>
      </x:c>
      <x:c r="B14" s="46" t="str">
        <x:v>—</x:v>
      </x:c>
      <x:c r="C14" s="46" t="str">
        <x:v>全部已验证公司</x:v>
      </x:c>
      <x:c r="D14" s="46" t="str">
        <x:v>无明显退化</x:v>
      </x:c>
      <x:c r="E14" s="46" t="n">
        <x:v>0</x:v>
      </x:c>
      <x:c r="F14" s="46" t="str">
        <x:v>发布允许</x:v>
      </x:c>
      <x:c r="G14" s="46" t="str">
        <x:v>独立脚本</x:v>
      </x:c>
      <x:c r="H14" s="46" t="str">
        <x:v>通过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6" hidden="0" customWidth="1"/>
    <x:col min="4" max="4" width="40" hidden="0" customWidth="1"/>
    <x:col min="5" max="5" width="40" hidden="0" customWidth="1"/>
    <x:col min="6" max="6" width="38" hidden="0" customWidth="1"/>
    <x:col min="7" max="7" width="27" hidden="0" customWidth="1"/>
    <x:col min="8" max="8" width="18" hidden="0" customWidth="1"/>
    <x:col min="9" max="9" width="31" hidden="0" customWidth="1"/>
    <x:col min="10" max="10" width="14" hidden="0" customWidth="1"/>
  </x:cols>
  <x:sheetData>
    <x:row r="1" ht="28" customHeight="1">
      <x:c r="A1" s="4" t="str">
        <x:v>Human-required与未知事项</x:v>
      </x:c>
      <x:c r="B1" s="4" t="str">
        <x:v>Human-required与未知事项</x:v>
      </x:c>
      <x:c r="C1" s="4" t="str">
        <x:v>Human-required与未知事项</x:v>
      </x:c>
      <x:c r="D1" s="4" t="str">
        <x:v>Human-required与未知事项</x:v>
      </x:c>
      <x:c r="E1" s="4" t="str">
        <x:v>Human-required与未知事项</x:v>
      </x:c>
      <x:c r="F1" s="4" t="str">
        <x:v>Human-required与未知事项</x:v>
      </x:c>
      <x:c r="G1" s="4" t="str">
        <x:v>Human-required与未知事项</x:v>
      </x:c>
      <x:c r="H1" s="4" t="str">
        <x:v>Human-required与未知事项</x:v>
      </x:c>
      <x:c r="I1" s="4" t="str">
        <x:v>Human-required与未知事项</x:v>
      </x:c>
      <x:c r="J1" s="4" t="str">
        <x:v>Human-required与未知事项</x:v>
      </x:c>
    </x:row>
    <x:row r="2" ht="35" customHeight="1">
      <x:c r="A2" s="11" t="str">
        <x:v>缺失数据足以改变结论时，必须阻断伪精确。</x:v>
      </x:c>
      <x:c r="B2" s="11" t="str">
        <x:v>缺失数据足以改变结论时，必须阻断伪精确。</x:v>
      </x:c>
      <x:c r="C2" s="11" t="str">
        <x:v>缺失数据足以改变结论时，必须阻断伪精确。</x:v>
      </x:c>
      <x:c r="D2" s="11" t="str">
        <x:v>缺失数据足以改变结论时，必须阻断伪精确。</x:v>
      </x:c>
      <x:c r="E2" s="11" t="str">
        <x:v>缺失数据足以改变结论时，必须阻断伪精确。</x:v>
      </x:c>
      <x:c r="F2" s="11" t="str">
        <x:v>缺失数据足以改变结论时，必须阻断伪精确。</x:v>
      </x:c>
      <x:c r="G2" s="11" t="str">
        <x:v>缺失数据足以改变结论时，必须阻断伪精确。</x:v>
      </x:c>
      <x:c r="H2" s="11" t="str">
        <x:v>缺失数据足以改变结论时，必须阻断伪精确。</x:v>
      </x:c>
      <x:c r="I2" s="11" t="str">
        <x:v>缺失数据足以改变结论时，必须阻断伪精确。</x:v>
      </x:c>
      <x:c r="J2" s="11" t="str">
        <x:v>缺失数据足以改变结论时，必须阻断伪精确。</x:v>
      </x:c>
    </x:row>
    <x:row r="4" ht="28" customHeight="1">
      <x:c r="A4" s="24" t="str">
        <x:v>优先</x:v>
      </x:c>
      <x:c r="B4" s="24" t="str">
        <x:v>公司/机制</x:v>
      </x:c>
      <x:c r="C4" s="24" t="str">
        <x:v>缺失项</x:v>
      </x:c>
      <x:c r="D4" s="24" t="str">
        <x:v>为什么关键</x:v>
      </x:c>
      <x:c r="E4" s="24" t="str">
        <x:v>已有事实</x:v>
      </x:c>
      <x:c r="F4" s="24" t="str">
        <x:v>人工决定</x:v>
      </x:c>
      <x:c r="G4" s="24" t="str">
        <x:v>阻断输出</x:v>
      </x:c>
      <x:c r="H4" s="24" t="str">
        <x:v>readiness</x:v>
      </x:c>
      <x:c r="I4" s="24" t="str">
        <x:v>下一步</x:v>
      </x:c>
      <x:c r="J4" s="24" t="str">
        <x:v>状态</x:v>
      </x:c>
    </x:row>
    <x:row r="5" ht="59" customHeight="1">
      <x:c r="A5" s="46" t="str">
        <x:v>P0</x:v>
      </x:c>
      <x:c r="B5" s="46" t="str">
        <x:v>Netflix</x:v>
      </x:c>
      <x:c r="C5" s="46" t="str">
        <x:v>gross adds/churn分地域/套餐</x:v>
      </x:c>
      <x:c r="D5" s="46" t="str">
        <x:v>会员质量和价格弹性</x:v>
      </x:c>
      <x:c r="E5" s="46" t="str">
        <x:v>主要披露净增/期末会员</x:v>
      </x:c>
      <x:c r="F5" s="46" t="str">
        <x:v>churn区间/代理</x:v>
      </x:c>
      <x:c r="G5" s="46" t="str">
        <x:v>三年会员点值</x:v>
      </x:c>
      <x:c r="H5" s="46" t="str">
        <x:v>screen/research</x:v>
      </x:c>
      <x:c r="I5" s="46" t="str">
        <x:v>第三方交叉</x:v>
      </x:c>
      <x:c r="J5" s="46" t="str">
        <x:v>待办</x:v>
      </x:c>
    </x:row>
    <x:row r="6" ht="59" customHeight="1">
      <x:c r="A6" s="46" t="str">
        <x:v>P0</x:v>
      </x:c>
      <x:c r="B6" s="46" t="str">
        <x:v>Netflix</x:v>
      </x:c>
      <x:c r="C6" s="46" t="str">
        <x:v>单部内容ROI与经济寿命</x:v>
      </x:c>
      <x:c r="D6" s="46" t="str">
        <x:v>内容资产/现金回报</x:v>
      </x:c>
      <x:c r="E6" s="46" t="str">
        <x:v>总内容资产/摊销/现金支出</x:v>
      </x:c>
      <x:c r="F6" s="46" t="str">
        <x:v>内容cohort</x:v>
      </x:c>
      <x:c r="G6" s="46" t="str">
        <x:v>精确ROIC</x:v>
      </x:c>
      <x:c r="H6" s="46" t="str">
        <x:v>screen</x:v>
      </x:c>
      <x:c r="I6" s="46" t="str">
        <x:v>人工内容分析</x:v>
      </x:c>
      <x:c r="J6" s="46" t="str">
        <x:v>待办</x:v>
      </x:c>
    </x:row>
    <x:row r="7" ht="59" customHeight="1">
      <x:c r="A7" s="46" t="str">
        <x:v>P0</x:v>
      </x:c>
      <x:c r="B7" s="46" t="str">
        <x:v>Netflix</x:v>
      </x:c>
      <x:c r="C7" s="46" t="str">
        <x:v>广告/付费共享/套餐可比桥</x:v>
      </x:c>
      <x:c r="D7" s="46" t="str">
        <x:v>改变ARPU/churn和边界</x:v>
      </x:c>
      <x:c r="E7" s="46" t="str">
        <x:v>历史期产品不同</x:v>
      </x:c>
      <x:c r="F7" s="46" t="str">
        <x:v>新旧口径桥</x:v>
      </x:c>
      <x:c r="G7" s="46" t="str">
        <x:v>跨期直接外推</x:v>
      </x:c>
      <x:c r="H7" s="46" t="str">
        <x:v>screen</x:v>
      </x:c>
      <x:c r="I7" s="46" t="str">
        <x:v>新快照</x:v>
      </x:c>
      <x:c r="J7" s="46" t="str">
        <x:v>待办</x:v>
      </x:c>
    </x:row>
    <x:row r="8" ht="59" customHeight="1">
      <x:c r="A8" s="46" t="str">
        <x:v>P0</x:v>
      </x:c>
      <x:c r="B8" s="46" t="str">
        <x:v>NVIDIA</x:v>
      </x:c>
      <x:c r="C8" s="46" t="str">
        <x:v>渠道库存/sell-through</x:v>
      </x:c>
      <x:c r="D8" s="46" t="str">
        <x:v>Gaming收入时点</x:v>
      </x:c>
      <x:c r="E8" s="46" t="str">
        <x:v>官方多定性</x:v>
      </x:c>
      <x:c r="F8" s="46" t="str">
        <x:v>库存周数/终端代理</x:v>
      </x:c>
      <x:c r="G8" s="46" t="str">
        <x:v>季度Gaming点值</x:v>
      </x:c>
      <x:c r="H8" s="46" t="str">
        <x:v>screen/research</x:v>
      </x:c>
      <x:c r="I8" s="46" t="str">
        <x:v>渠道交叉</x:v>
      </x:c>
      <x:c r="J8" s="46" t="str">
        <x:v>待办</x:v>
      </x:c>
    </x:row>
    <x:row r="9" ht="59" customHeight="1">
      <x:c r="A9" s="46" t="str">
        <x:v>P0</x:v>
      </x:c>
      <x:c r="B9" s="46" t="str">
        <x:v>NVIDIA</x:v>
      </x:c>
      <x:c r="C9" s="46" t="str">
        <x:v>客户/平台份额</x:v>
      </x:c>
      <x:c r="D9" s="46" t="str">
        <x:v>AI Base规模</x:v>
      </x:c>
      <x:c r="E9" s="46" t="str">
        <x:v>DC总额和部分平台</x:v>
      </x:c>
      <x:c r="F9" s="46" t="str">
        <x:v>部署×内容×份额区间</x:v>
      </x:c>
      <x:c r="G9" s="46" t="str">
        <x:v>精确客户收入</x:v>
      </x:c>
      <x:c r="H9" s="46" t="str">
        <x:v>screen</x:v>
      </x:c>
      <x:c r="I9" s="46" t="str">
        <x:v>客户/供应链桥</x:v>
      </x:c>
      <x:c r="J9" s="46" t="str">
        <x:v>待办</x:v>
      </x:c>
    </x:row>
    <x:row r="10" ht="59" customHeight="1">
      <x:c r="A10" s="46" t="str">
        <x:v>P0</x:v>
      </x:c>
      <x:c r="B10" s="46" t="str">
        <x:v>NVIDIA</x:v>
      </x:c>
      <x:c r="C10" s="46" t="str">
        <x:v>foundry/CoWoS/HBM/网络容量</x:v>
      </x:c>
      <x:c r="D10" s="46" t="str">
        <x:v>收入上限/采购风险</x:v>
      </x:c>
      <x:c r="E10" s="46" t="str">
        <x:v>承诺与风险披露</x:v>
      </x:c>
      <x:c r="F10" s="46" t="str">
        <x:v>容量/良率区间</x:v>
      </x:c>
      <x:c r="G10" s="46" t="str">
        <x:v>三年单点</x:v>
      </x:c>
      <x:c r="H10" s="46" t="str">
        <x:v>screen</x:v>
      </x:c>
      <x:c r="I10" s="46" t="str">
        <x:v>供应链研究</x:v>
      </x:c>
      <x:c r="J10" s="46" t="str">
        <x:v>待办</x:v>
      </x:c>
    </x:row>
    <x:row r="11" ht="59" customHeight="1">
      <x:c r="A11" s="46" t="str">
        <x:v>P1</x:v>
      </x:c>
      <x:c r="B11" s="46" t="str">
        <x:v>NVIDIA</x:v>
      </x:c>
      <x:c r="C11" s="46" t="str">
        <x:v>未公告M&amp;A</x:v>
      </x:c>
      <x:c r="D11" s="46" t="str">
        <x:v>边界和GAAP利润</x:v>
      </x:c>
      <x:c r="E11" s="46" t="str">
        <x:v>历史公告可见</x:v>
      </x:c>
      <x:c r="F11" s="46" t="str">
        <x:v>新版本/分布尾部</x:v>
      </x:c>
      <x:c r="G11" s="46" t="str">
        <x:v>点值</x:v>
      </x:c>
      <x:c r="H11" s="46" t="str">
        <x:v>distribution-only</x:v>
      </x:c>
      <x:c r="I11" s="46" t="str">
        <x:v>公告后更新</x:v>
      </x:c>
      <x:c r="J11" s="46" t="str">
        <x:v>规则生效</x:v>
      </x:c>
    </x:row>
    <x:row r="12" ht="59" customHeight="1">
      <x:c r="A12" s="46" t="str">
        <x:v>P1</x:v>
      </x:c>
      <x:c r="B12" s="46" t="str">
        <x:v>统一Skill</x:v>
      </x:c>
      <x:c r="C12" s="46" t="str">
        <x:v>真实前瞻验证</x:v>
      </x:c>
      <x:c r="D12" s="46" t="str">
        <x:v>消除事后偏差</x:v>
      </x:c>
      <x:c r="E12" s="46" t="str">
        <x:v>现有回顾性模拟</x:v>
      </x:c>
      <x:c r="F12" s="46" t="str">
        <x:v>封存4–8季度</x:v>
      </x:c>
      <x:c r="G12" s="46" t="str">
        <x:v>decision-grade</x:v>
      </x:c>
      <x:c r="H12" s="46" t="str">
        <x:v>research</x:v>
      </x:c>
      <x:c r="I12" s="46" t="str">
        <x:v>滚动scorecard</x:v>
      </x:c>
      <x:c r="J12" s="46" t="str">
        <x:v>持续</x:v>
      </x:c>
    </x:row>
    <x:row r="13" ht="59" customHeight="1">
      <x:c r="A13" s="46" t="str">
        <x:v>P1</x:v>
      </x:c>
      <x:c r="B13" s="46" t="str">
        <x:v>下一轮</x:v>
      </x:c>
      <x:c r="C13" s="46" t="str">
        <x:v>AMD与Intel</x:v>
      </x:c>
      <x:c r="D13" s="46" t="str">
        <x:v>平台竞争/x86/foundry/重组</x:v>
      </x:c>
      <x:c r="E13" s="46" t="str">
        <x:v>尚未独立验证</x:v>
      </x:c>
      <x:c r="F13" s="46" t="str">
        <x:v>截面和口径</x:v>
      </x:c>
      <x:c r="G13" s="46" t="str">
        <x:v>泛化声明</x:v>
      </x:c>
      <x:c r="H13" s="46" t="str">
        <x:v>未验证</x:v>
      </x:c>
      <x:c r="I13" s="46" t="str">
        <x:v>下一轮</x:v>
      </x:c>
      <x:c r="J13" s="46" t="str">
        <x:v>待办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6" hidden="0" customWidth="1"/>
    <x:col min="4" max="4" width="12" hidden="0" customWidth="1"/>
    <x:col min="5" max="5" width="54" hidden="0" customWidth="1"/>
    <x:col min="6" max="6" width="27" hidden="0" customWidth="1"/>
    <x:col min="7" max="7" width="17" hidden="0" customWidth="1"/>
    <x:col min="8" max="8" width="35" hidden="0" customWidth="1"/>
    <x:col min="9" max="9" width="68" hidden="0" customWidth="1"/>
    <x:col min="10" max="10" width="13" hidden="0" customWidth="1"/>
  </x:cols>
  <x:sheetData>
    <x:row r="1" ht="28" customHeight="1">
      <x:c r="A1" s="4" t="str">
        <x:v>Netflix与NVIDIA证据台账</x:v>
      </x:c>
      <x:c r="B1" s="4" t="str">
        <x:v>Netflix与NVIDIA证据台账</x:v>
      </x:c>
      <x:c r="C1" s="4" t="str">
        <x:v>Netflix与NVIDIA证据台账</x:v>
      </x:c>
      <x:c r="D1" s="4" t="str">
        <x:v>Netflix与NVIDIA证据台账</x:v>
      </x:c>
      <x:c r="E1" s="4" t="str">
        <x:v>Netflix与NVIDIA证据台账</x:v>
      </x:c>
      <x:c r="F1" s="4" t="str">
        <x:v>Netflix与NVIDIA证据台账</x:v>
      </x:c>
      <x:c r="G1" s="4" t="str">
        <x:v>Netflix与NVIDIA证据台账</x:v>
      </x:c>
      <x:c r="H1" s="4" t="str">
        <x:v>Netflix与NVIDIA证据台账</x:v>
      </x:c>
      <x:c r="I1" s="4" t="str">
        <x:v>Netflix与NVIDIA证据台账</x:v>
      </x:c>
      <x:c r="J1" s="4" t="str">
        <x:v>Netflix与NVIDIA证据台账</x:v>
      </x:c>
    </x:row>
    <x:row r="2" ht="35" customHeight="1">
      <x:c r="A2" s="11" t="str">
        <x:v>官方10-K为事实锚；模型点值和阶段概率为E3。</x:v>
      </x:c>
      <x:c r="B2" s="11" t="str">
        <x:v>官方10-K为事实锚；模型点值和阶段概率为E3。</x:v>
      </x:c>
      <x:c r="C2" s="11" t="str">
        <x:v>官方10-K为事实锚；模型点值和阶段概率为E3。</x:v>
      </x:c>
      <x:c r="D2" s="11" t="str">
        <x:v>官方10-K为事实锚；模型点值和阶段概率为E3。</x:v>
      </x:c>
      <x:c r="E2" s="11" t="str">
        <x:v>官方10-K为事实锚；模型点值和阶段概率为E3。</x:v>
      </x:c>
      <x:c r="F2" s="11" t="str">
        <x:v>官方10-K为事实锚；模型点值和阶段概率为E3。</x:v>
      </x:c>
      <x:c r="G2" s="11" t="str">
        <x:v>官方10-K为事实锚；模型点值和阶段概率为E3。</x:v>
      </x:c>
      <x:c r="H2" s="11" t="str">
        <x:v>官方10-K为事实锚；模型点值和阶段概率为E3。</x:v>
      </x:c>
      <x:c r="I2" s="11" t="str">
        <x:v>官方10-K为事实锚；模型点值和阶段概率为E3。</x:v>
      </x:c>
      <x:c r="J2" s="11" t="str">
        <x:v>官方10-K为事实锚；模型点值和阶段概率为E3。</x:v>
      </x:c>
    </x:row>
    <x:row r="4" ht="28" customHeight="1">
      <x:c r="A4" s="24" t="str">
        <x:v>来源ID</x:v>
      </x:c>
      <x:c r="B4" s="24" t="str">
        <x:v>公司</x:v>
      </x:c>
      <x:c r="C4" s="24" t="str">
        <x:v>期间</x:v>
      </x:c>
      <x:c r="D4" s="24" t="str">
        <x:v>等级</x:v>
      </x:c>
      <x:c r="E4" s="24" t="str">
        <x:v>关键事实</x:v>
      </x:c>
      <x:c r="F4" s="24" t="str">
        <x:v>用途</x:v>
      </x:c>
      <x:c r="G4" s="24" t="str">
        <x:v>截面可见</x:v>
      </x:c>
      <x:c r="H4" s="24" t="str">
        <x:v>限制</x:v>
      </x:c>
      <x:c r="I4" s="24" t="str">
        <x:v>URL</x:v>
      </x:c>
      <x:c r="J4" s="24" t="str">
        <x:v>状态</x:v>
      </x:c>
    </x:row>
    <x:row r="5" ht="54" customHeight="1">
      <x:c r="A5" s="46" t="str">
        <x:v>NFLX_2014_10K</x:v>
      </x:c>
      <x:c r="B5" s="46" t="str">
        <x:v>Netflix</x:v>
      </x:c>
      <x:c r="C5" s="46" t="str">
        <x:v>FY2014</x:v>
      </x:c>
      <x:c r="D5" s="46" t="str">
        <x:v>E0/E1</x:v>
      </x:c>
      <x:c r="E5" s="46" t="str">
        <x:v>国内/国际会员、ARPU、贡献经济</x:v>
      </x:c>
      <x:c r="F5" s="46" t="str">
        <x:v>FY2014</x:v>
      </x:c>
      <x:c r="G5" s="46" t="str">
        <x:v>是</x:v>
      </x:c>
      <x:c r="H5" s="46" t="str">
        <x:v>早期地域口径</x:v>
      </x:c>
      <x:c r="I5" s="46" t="str">
        <x:v>https://www.sec.gov/Archives/edgar/data/1065280/000106528015000006/nflx-20141231x10k.htm</x:v>
      </x:c>
      <x:c r="J5" s="46" t="str">
        <x:v>核验</x:v>
      </x:c>
    </x:row>
    <x:row r="6" ht="54" customHeight="1">
      <x:c r="A6" s="46" t="str">
        <x:v>NFLX_2016_10K</x:v>
      </x:c>
      <x:c r="B6" s="46" t="str">
        <x:v>Netflix</x:v>
      </x:c>
      <x:c r="C6" s="46" t="str">
        <x:v>FY2016</x:v>
      </x:c>
      <x:c r="D6" s="46" t="str">
        <x:v>E0/E1</x:v>
      </x:c>
      <x:c r="E6" s="46" t="str">
        <x:v>FCF -16.6亿、内容义务144.8亿、现金/摊销差异</x:v>
      </x:c>
      <x:c r="F6" s="46" t="str">
        <x:v>FY2016</x:v>
      </x:c>
      <x:c r="G6" s="46" t="str">
        <x:v>是</x:v>
      </x:c>
      <x:c r="H6" s="46" t="str">
        <x:v>churn不完整</x:v>
      </x:c>
      <x:c r="I6" s="46" t="str">
        <x:v>https://www.sec.gov/Archives/edgar/data/1065280/000106528017000036/nflx-20161231x10k.htm</x:v>
      </x:c>
      <x:c r="J6" s="46" t="str">
        <x:v>核验</x:v>
      </x:c>
    </x:row>
    <x:row r="7" ht="54" customHeight="1">
      <x:c r="A7" s="46" t="str">
        <x:v>NFLX_2018_10K</x:v>
      </x:c>
      <x:c r="B7" s="46" t="str">
        <x:v>Netflix</x:v>
      </x:c>
      <x:c r="C7" s="46" t="str">
        <x:v>FY2018</x:v>
      </x:c>
      <x:c r="D7" s="46" t="str">
        <x:v>E0/E1</x:v>
      </x:c>
      <x:c r="E7" s="46" t="str">
        <x:v>收入157.94亿、OI16.05亿、会员139.3m、ARPU</x:v>
      </x:c>
      <x:c r="F7" s="46" t="str">
        <x:v>FY2018</x:v>
      </x:c>
      <x:c r="G7" s="46" t="str">
        <x:v>是</x:v>
      </x:c>
      <x:c r="H7" s="46" t="str">
        <x:v>疫情未知</x:v>
      </x:c>
      <x:c r="I7" s="46" t="str">
        <x:v>https://www.sec.gov/Archives/edgar/data/1065280/000106528019000043/nflx-20181231x10k.htm</x:v>
      </x:c>
      <x:c r="J7" s="46" t="str">
        <x:v>核验</x:v>
      </x:c>
    </x:row>
    <x:row r="8" ht="54" customHeight="1">
      <x:c r="A8" s="46" t="str">
        <x:v>NFLX_2019_10K</x:v>
      </x:c>
      <x:c r="B8" s="46" t="str">
        <x:v>Netflix</x:v>
      </x:c>
      <x:c r="C8" s="46" t="str">
        <x:v>FY2019</x:v>
      </x:c>
      <x:c r="D8" s="46" t="str">
        <x:v>E0/E1</x:v>
      </x:c>
      <x:c r="E8" s="46" t="str">
        <x:v>收入201.56亿、OI26.04亿、现金内容146.11亿、FCF -32.74亿</x:v>
      </x:c>
      <x:c r="F8" s="46" t="str">
        <x:v>FY2019</x:v>
      </x:c>
      <x:c r="G8" s="46" t="str">
        <x:v>是</x:v>
      </x:c>
      <x:c r="H8" s="46" t="str">
        <x:v>疫情未知</x:v>
      </x:c>
      <x:c r="I8" s="46" t="str">
        <x:v>https://www.sec.gov/Archives/edgar/data/1065280/000106528020000040/nflx-20191231x10k.htm</x:v>
      </x:c>
      <x:c r="J8" s="46" t="str">
        <x:v>核验</x:v>
      </x:c>
    </x:row>
    <x:row r="9" ht="54" customHeight="1">
      <x:c r="A9" s="46" t="str">
        <x:v>NFLX_2020_10K</x:v>
      </x:c>
      <x:c r="B9" s="46" t="str">
        <x:v>Netflix</x:v>
      </x:c>
      <x:c r="C9" s="46" t="str">
        <x:v>FY2020</x:v>
      </x:c>
      <x:c r="D9" s="46" t="str">
        <x:v>E0</x:v>
      </x:c>
      <x:c r="E9" s="46" t="str">
        <x:v>疫情拉前、制作/付款延期、FCF转正</x:v>
      </x:c>
      <x:c r="F9" s="46" t="str">
        <x:v>Actual</x:v>
      </x:c>
      <x:c r="G9" s="46" t="str">
        <x:v>否早期</x:v>
      </x:c>
      <x:c r="H9" s="46" t="str">
        <x:v>只验证</x:v>
      </x:c>
      <x:c r="I9" s="46" t="str">
        <x:v>https://www.sec.gov/Archives/edgar/data/1065280/000106528021000040/nflx-20201231x10k.htm</x:v>
      </x:c>
      <x:c r="J9" s="46" t="str">
        <x:v>核验</x:v>
      </x:c>
    </x:row>
    <x:row r="10" ht="54" customHeight="1">
      <x:c r="A10" s="46" t="str">
        <x:v>NFLX_2021_10K</x:v>
      </x:c>
      <x:c r="B10" s="46" t="str">
        <x:v>Netflix</x:v>
      </x:c>
      <x:c r="C10" s="46" t="str">
        <x:v>FY2021</x:v>
      </x:c>
      <x:c r="D10" s="46" t="str">
        <x:v>E0</x:v>
      </x:c>
      <x:c r="E10" s="46" t="str">
        <x:v>收入296.98亿、OI61.95亿、现金内容174.69亿、摊销122.30亿</x:v>
      </x:c>
      <x:c r="F10" s="46" t="str">
        <x:v>Actual</x:v>
      </x:c>
      <x:c r="G10" s="46" t="str">
        <x:v>否</x:v>
      </x:c>
      <x:c r="H10" s="46" t="str">
        <x:v>只验证</x:v>
      </x:c>
      <x:c r="I10" s="46" t="str">
        <x:v>https://www.sec.gov/Archives/edgar/data/1065280/000106528022000036/nflx-20211231x10k.htm</x:v>
      </x:c>
      <x:c r="J10" s="46" t="str">
        <x:v>核验</x:v>
      </x:c>
    </x:row>
    <x:row r="11" ht="54" customHeight="1">
      <x:c r="A11" s="46" t="str">
        <x:v>NFLX_2022_10K</x:v>
      </x:c>
      <x:c r="B11" s="46" t="str">
        <x:v>Netflix</x:v>
      </x:c>
      <x:c r="C11" s="46" t="str">
        <x:v>FY2022</x:v>
      </x:c>
      <x:c r="D11" s="46" t="str">
        <x:v>E0</x:v>
      </x:c>
      <x:c r="E11" s="46" t="str">
        <x:v>收入316.16亿、OI56.33亿、现金内容166.60亿、摊销140.26亿</x:v>
      </x:c>
      <x:c r="F11" s="46" t="str">
        <x:v>Actual</x:v>
      </x:c>
      <x:c r="G11" s="46" t="str">
        <x:v>否</x:v>
      </x:c>
      <x:c r="H11" s="46" t="str">
        <x:v>只验证</x:v>
      </x:c>
      <x:c r="I11" s="46" t="str">
        <x:v>https://www.sec.gov/Archives/edgar/data/1065280/000106528023000035/nflx-20221231x10k.htm</x:v>
      </x:c>
      <x:c r="J11" s="46" t="str">
        <x:v>核验</x:v>
      </x:c>
    </x:row>
    <x:row r="12" ht="54" customHeight="1">
      <x:c r="A12" s="46" t="str">
        <x:v>NVDA_FY2018_10K</x:v>
      </x:c>
      <x:c r="B12" s="46" t="str">
        <x:v>NVIDIA</x:v>
      </x:c>
      <x:c r="C12" s="46" t="str">
        <x:v>FY2018</x:v>
      </x:c>
      <x:c r="D12" s="46" t="str">
        <x:v>E0/E1</x:v>
      </x:c>
      <x:c r="E12" s="46" t="str">
        <x:v>收入97.14亿、OI32.10亿；Gaming/DC与crypto渠道风险</x:v>
      </x:c>
      <x:c r="F12" s="46" t="str">
        <x:v>FY2018</x:v>
      </x:c>
      <x:c r="G12" s="46" t="str">
        <x:v>是</x:v>
      </x:c>
      <x:c r="H12" s="46" t="str">
        <x:v>平台口径变化</x:v>
      </x:c>
      <x:c r="I12" s="46" t="str">
        <x:v>https://www.sec.gov/Archives/edgar/data/1045810/000104581018000010/nvda-20180128x10k.htm</x:v>
      </x:c>
      <x:c r="J12" s="46" t="str">
        <x:v>核验</x:v>
      </x:c>
    </x:row>
    <x:row r="13" ht="54" customHeight="1">
      <x:c r="A13" s="46" t="str">
        <x:v>NVDA_FY2019_10K</x:v>
      </x:c>
      <x:c r="B13" s="46" t="str">
        <x:v>NVIDIA</x:v>
      </x:c>
      <x:c r="C13" s="46" t="str">
        <x:v>FY2019</x:v>
      </x:c>
      <x:c r="D13" s="46" t="str">
        <x:v>E0/E1</x:v>
      </x:c>
      <x:c r="E13" s="46" t="str">
        <x:v>收入117.16亿、OI38.04亿；渠道库存和组件费用</x:v>
      </x:c>
      <x:c r="F13" s="46" t="str">
        <x:v>FY2019</x:v>
      </x:c>
      <x:c r="G13" s="46" t="str">
        <x:v>是</x:v>
      </x:c>
      <x:c r="H13" s="46" t="str">
        <x:v>Mellanox未公告</x:v>
      </x:c>
      <x:c r="I13" s="46" t="str">
        <x:v>https://www.sec.gov/Archives/edgar/data/1045810/000104581019000023/nvda-20190127x10k.htm</x:v>
      </x:c>
      <x:c r="J13" s="46" t="str">
        <x:v>核验</x:v>
      </x:c>
    </x:row>
    <x:row r="14" ht="54" customHeight="1">
      <x:c r="A14" s="46" t="str">
        <x:v>NVDA_FY2020_10K</x:v>
      </x:c>
      <x:c r="B14" s="46" t="str">
        <x:v>NVIDIA</x:v>
      </x:c>
      <x:c r="C14" s="46" t="str">
        <x:v>FY2020</x:v>
      </x:c>
      <x:c r="D14" s="46" t="str">
        <x:v>E0/E1</x:v>
      </x:c>
      <x:c r="E14" s="46" t="str">
        <x:v>收入109.18亿、OI28.46亿；Gaming下降、DC 29.83亿</x:v>
      </x:c>
      <x:c r="F14" s="46" t="str">
        <x:v>FY2020</x:v>
      </x:c>
      <x:c r="G14" s="46" t="str">
        <x:v>是</x:v>
      </x:c>
      <x:c r="H14" s="46" t="str">
        <x:v>Mellanox待完成</x:v>
      </x:c>
      <x:c r="I14" s="46" t="str">
        <x:v>https://www.sec.gov/Archives/edgar/data/1045810/000104581020000010/nvda-20200126x10k.htm</x:v>
      </x:c>
      <x:c r="J14" s="46" t="str">
        <x:v>核验</x:v>
      </x:c>
    </x:row>
    <x:row r="15" ht="54" customHeight="1">
      <x:c r="A15" s="46" t="str">
        <x:v>NVDA_FY2021_10K</x:v>
      </x:c>
      <x:c r="B15" s="46" t="str">
        <x:v>NVIDIA</x:v>
      </x:c>
      <x:c r="C15" s="46" t="str">
        <x:v>FY2021</x:v>
      </x:c>
      <x:c r="D15" s="46" t="str">
        <x:v>E0/E1</x:v>
      </x:c>
      <x:c r="E15" s="46" t="str">
        <x:v>收入166.75亿、OI45.32亿；Gaming +41%、DC +124%；Mellanox约10%</x:v>
      </x:c>
      <x:c r="F15" s="46" t="str">
        <x:v>FY2021</x:v>
      </x:c>
      <x:c r="G15" s="46" t="str">
        <x:v>是</x:v>
      </x:c>
      <x:c r="H15" s="46" t="str">
        <x:v>AI爆发未知</x:v>
      </x:c>
      <x:c r="I15" s="46" t="str">
        <x:v>https://www.sec.gov/Archives/edgar/data/1045810/000104581021000010/nvda-20210131x10k.htm</x:v>
      </x:c>
      <x:c r="J15" s="46" t="str">
        <x:v>核验</x:v>
      </x:c>
    </x:row>
    <x:row r="16" ht="54" customHeight="1">
      <x:c r="A16" s="46" t="str">
        <x:v>NVDA_FY2023_10K</x:v>
      </x:c>
      <x:c r="B16" s="46" t="str">
        <x:v>NVIDIA</x:v>
      </x:c>
      <x:c r="C16" s="46" t="str">
        <x:v>FY2023</x:v>
      </x:c>
      <x:c r="D16" s="46" t="str">
        <x:v>E0</x:v>
      </x:c>
      <x:c r="E16" s="46" t="str">
        <x:v>收入269.74亿；Gaming -27%；渠道库存；H100 ramp</x:v>
      </x:c>
      <x:c r="F16" s="46" t="str">
        <x:v>Actual</x:v>
      </x:c>
      <x:c r="G16" s="46" t="str">
        <x:v>否</x:v>
      </x:c>
      <x:c r="H16" s="46" t="str">
        <x:v>只验证</x:v>
      </x:c>
      <x:c r="I16" s="46" t="str">
        <x:v>https://www.sec.gov/Archives/edgar/data/1045810/000104581023000017/nvda-20230129x10k.htm</x:v>
      </x:c>
      <x:c r="J16" s="46" t="str">
        <x:v>核验</x:v>
      </x:c>
    </x:row>
    <x:row r="17" ht="54" customHeight="1">
      <x:c r="A17" s="46" t="str">
        <x:v>NVDA_FY2024_10K</x:v>
      </x:c>
      <x:c r="B17" s="46" t="str">
        <x:v>NVIDIA</x:v>
      </x:c>
      <x:c r="C17" s="46" t="str">
        <x:v>FY2024</x:v>
      </x:c>
      <x:c r="D17" s="46" t="str">
        <x:v>E0</x:v>
      </x:c>
      <x:c r="E17" s="46" t="str">
        <x:v>收入609.22亿、OI329.72亿；DC +217%</x:v>
      </x:c>
      <x:c r="F17" s="46" t="str">
        <x:v>分布验证</x:v>
      </x:c>
      <x:c r="G17" s="46" t="str">
        <x:v>否FY21</x:v>
      </x:c>
      <x:c r="H17" s="46" t="str">
        <x:v>只验证</x:v>
      </x:c>
      <x:c r="I17" s="46" t="str">
        <x:v>https://www.sec.gov/Archives/edgar/data/1045810/000104581024000029/nvda-20240128x10k.htm</x:v>
      </x:c>
      <x:c r="J17" s="46" t="str">
        <x:v>核验</x:v>
      </x:c>
    </x:row>
    <x:row r="18" ht="54" customHeight="1">
      <x:c r="A18" s="46" t="str">
        <x:v>RETRO_V72</x:v>
      </x:c>
      <x:c r="B18" s="46" t="str">
        <x:v>方法</x:v>
      </x:c>
      <x:c r="C18" s="46" t="str">
        <x:v>本轮</x:v>
      </x:c>
      <x:c r="D18" s="46" t="str">
        <x:v>E3</x:v>
      </x:c>
      <x:c r="E18" s="46" t="str">
        <x:v>点值和区间为回顾性点时点模拟</x:v>
      </x:c>
      <x:c r="F18" s="46" t="str">
        <x:v>回测</x:v>
      </x:c>
      <x:c r="G18" s="46" t="str">
        <x:v>不适用</x:v>
      </x:c>
      <x:c r="H18" s="46" t="str">
        <x:v>存在事后偏差</x:v>
      </x:c>
      <x:c r="I18" s="46" t="str"/>
      <x:c r="J18" s="46" t="str">
        <x:v>模型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4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4" t="str">
        <x:v>模型和回归检查</x:v>
      </x:c>
      <x:c r="B1" s="4" t="str">
        <x:v>模型和回归检查</x:v>
      </x:c>
      <x:c r="C1" s="4" t="str">
        <x:v>模型和回归检查</x:v>
      </x:c>
      <x:c r="D1" s="4" t="str">
        <x:v>模型和回归检查</x:v>
      </x:c>
      <x:c r="E1" s="4" t="str">
        <x:v>模型和回归检查</x:v>
      </x:c>
      <x:c r="F1" s="4" t="str">
        <x:v>模型和回归检查</x:v>
      </x:c>
      <x:c r="G1" s="4" t="str">
        <x:v>模型和回归检查</x:v>
      </x:c>
      <x:c r="H1" s="4" t="str">
        <x:v>模型和回归检查</x:v>
      </x:c>
    </x:row>
    <x:row r="2" ht="35" customHeight="1">
      <x:c r="A2" s="11" t="str">
        <x:v>所有发布门槛必须通过。</x:v>
      </x:c>
      <x:c r="B2" s="11" t="str">
        <x:v>所有发布门槛必须通过。</x:v>
      </x:c>
      <x:c r="C2" s="11" t="str">
        <x:v>所有发布门槛必须通过。</x:v>
      </x:c>
      <x:c r="D2" s="11" t="str">
        <x:v>所有发布门槛必须通过。</x:v>
      </x:c>
      <x:c r="E2" s="11" t="str">
        <x:v>所有发布门槛必须通过。</x:v>
      </x:c>
      <x:c r="F2" s="11" t="str">
        <x:v>所有发布门槛必须通过。</x:v>
      </x:c>
      <x:c r="G2" s="11" t="str">
        <x:v>所有发布门槛必须通过。</x:v>
      </x:c>
      <x:c r="H2" s="11" t="str">
        <x:v>所有发布门槛必须通过。</x:v>
      </x:c>
    </x:row>
    <x:row r="4" ht="28" customHeight="1">
      <x:c r="A4" s="24" t="str">
        <x:v>检查</x:v>
      </x:c>
      <x:c r="B4" s="24" t="str">
        <x:v>实际</x:v>
      </x:c>
      <x:c r="C4" s="24" t="str">
        <x:v>门槛</x:v>
      </x:c>
      <x:c r="D4" s="24" t="str">
        <x:v>状态</x:v>
      </x:c>
      <x:c r="E4" s="24" t="str">
        <x:v>说明</x:v>
      </x:c>
    </x:row>
    <x:row r="5">
      <x:c r="A5" t="str">
        <x:v>Netflix收入MAPE</x:v>
      </x:c>
      <x:c r="B5" s="56" t="n">
        <x:v>0.032977352810383706</x:v>
      </x:c>
      <x:c r="C5" t="n">
        <x:v>0.08</x:v>
      </x:c>
      <x:c r="D5" t="str">
        <x:v>通过</x:v>
      </x:c>
      <x:c r="E5" t="str"/>
    </x:row>
    <x:row r="6">
      <x:c r="A6" t="str">
        <x:v>Netflix利润率误差</x:v>
      </x:c>
      <x:c r="B6" s="58" t="n">
        <x:v>0.5284433612825965</x:v>
      </x:c>
      <x:c r="C6" t="n">
        <x:v>5</x:v>
      </x:c>
      <x:c r="D6" t="str">
        <x:v>通过</x:v>
      </x:c>
      <x:c r="E6" t="str">
        <x:v>pp</x:v>
      </x:c>
    </x:row>
    <x:row r="7">
      <x:c r="A7" t="str">
        <x:v>NVIDIA收入MAPE</x:v>
      </x:c>
      <x:c r="B7" s="56" t="n">
        <x:v>0.03320386724253736</x:v>
      </x:c>
      <x:c r="C7" t="n">
        <x:v>0.08</x:v>
      </x:c>
      <x:c r="D7" t="str">
        <x:v>通过</x:v>
      </x:c>
      <x:c r="E7" t="str"/>
    </x:row>
    <x:row r="8">
      <x:c r="A8" t="str">
        <x:v>NVIDIA利润率误差</x:v>
      </x:c>
      <x:c r="B8" s="58" t="n">
        <x:v>1.7627063227443933</x:v>
      </x:c>
      <x:c r="C8" t="n">
        <x:v>5</x:v>
      </x:c>
      <x:c r="D8" t="str">
        <x:v>通过</x:v>
      </x:c>
      <x:c r="E8" t="str">
        <x:v>pp</x:v>
      </x:c>
    </x:row>
    <x:row r="9">
      <x:c r="A9" t="str">
        <x:v>Netflix分布利润覆盖</x:v>
      </x:c>
      <x:c r="B9" s="56" t="n">
        <x:v>1</x:v>
      </x:c>
      <x:c r="C9" t="n">
        <x:v>0.8</x:v>
      </x:c>
      <x:c r="D9" t="str">
        <x:v>通过</x:v>
      </x:c>
      <x:c r="E9" t="str"/>
    </x:row>
    <x:row r="10">
      <x:c r="A10" t="str">
        <x:v>NVIDIA分布利润覆盖</x:v>
      </x:c>
      <x:c r="B10" s="56" t="n">
        <x:v>1</x:v>
      </x:c>
      <x:c r="C10" t="n">
        <x:v>0.8</x:v>
      </x:c>
      <x:c r="D10" t="str">
        <x:v>通过</x:v>
      </x:c>
      <x:c r="E10" t="str"/>
    </x:row>
    <x:row r="11">
      <x:c r="A11" t="str">
        <x:v>AWS退化</x:v>
      </x:c>
      <x:c r="B11" t="n">
        <x:v>0</x:v>
      </x:c>
      <x:c r="C11" t="n">
        <x:v>0</x:v>
      </x:c>
      <x:c r="D11" t="str">
        <x:v>通过</x:v>
      </x:c>
      <x:c r="E11" t="str"/>
    </x:row>
    <x:row r="12">
      <x:c r="A12" t="str">
        <x:v>Marvell退化</x:v>
      </x:c>
      <x:c r="B12" t="n">
        <x:v>0</x:v>
      </x:c>
      <x:c r="C12" t="n">
        <x:v>0</x:v>
      </x:c>
      <x:c r="D12" t="str">
        <x:v>通过</x:v>
      </x:c>
      <x:c r="E12" t="str"/>
    </x:row>
    <x:row r="13">
      <x:c r="A13" t="str">
        <x:v>Lam/KLA退化</x:v>
      </x:c>
      <x:c r="B13" t="n">
        <x:v>0</x:v>
      </x:c>
      <x:c r="C13" t="n">
        <x:v>0</x:v>
      </x:c>
      <x:c r="D13" t="str">
        <x:v>通过</x:v>
      </x:c>
      <x:c r="E13" t="str"/>
    </x:row>
    <x:row r="14">
      <x:c r="A14" t="str">
        <x:v>Sandisk差异</x:v>
      </x:c>
      <x:c r="B14" t="n">
        <x:v>0</x:v>
      </x:c>
      <x:c r="C14" t="n">
        <x:v>0</x:v>
      </x:c>
      <x:c r="D14" t="str">
        <x:v>通过</x:v>
      </x:c>
      <x:c r="E14" t="str"/>
    </x:row>
    <x:row r="15">
      <x:c r="A15" t="str">
        <x:v>Legacy差异</x:v>
      </x:c>
      <x:c r="B15" t="n">
        <x:v>0</x:v>
      </x:c>
      <x:c r="C15" t="n">
        <x:v>0</x:v>
      </x:c>
      <x:c r="D15" t="str">
        <x:v>通过</x:v>
      </x:c>
      <x:c r="E15" t="str">
        <x:v>96点</x:v>
      </x:c>
    </x:row>
  </x:sheetData>
  <x:mergeCells>
    <x:mergeCell ref="A1:H1"/>
    <x:mergeCell ref="A2:H2"/>
  </x:mergeCells>
  <x:conditionalFormatting sqref="D5:D15">
    <x:cfRule type="expression" dxfId="2" priority="1">
      <x:formula>D5="通过"</x:formula>
    </x:cfRule>
  </x:conditionalFormatting>
  <x:pageMargins left="0.7" right="0.7" top="0.75" bottom="0.75" header="0.3" footer="0.3"/>
</x:worksheet>
</file>