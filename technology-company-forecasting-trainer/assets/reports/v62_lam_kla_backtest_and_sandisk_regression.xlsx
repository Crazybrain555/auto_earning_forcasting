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f208fabe743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da37082661ef41a9"/>
    <x:sheet xmlns:r="http://schemas.openxmlformats.org/officeDocument/2006/relationships" name="验证设计" sheetId="2" r:id="R90ed4b5ea3f5427e"/>
    <x:sheet xmlns:r="http://schemas.openxmlformats.org/officeDocument/2006/relationships" name="Lam点时点证据" sheetId="3" r:id="Rc9264f7dd95046a2"/>
    <x:sheet xmlns:r="http://schemas.openxmlformats.org/officeDocument/2006/relationships" name="KLA点时点证据" sheetId="4" r:id="Rc0cf238836de4da2"/>
    <x:sheet xmlns:r="http://schemas.openxmlformats.org/officeDocument/2006/relationships" name="预测明细" sheetId="5" r:id="Rd2a3c7c185ee4ca8"/>
    <x:sheet xmlns:r="http://schemas.openxmlformats.org/officeDocument/2006/relationships" name="误差汇总" sheetId="6" r:id="Rd65f7e2f4a95479b"/>
    <x:sheet xmlns:r="http://schemas.openxmlformats.org/officeDocument/2006/relationships" name="失败归因" sheetId="7" r:id="Rbca7c6088d554baf"/>
    <x:sheet xmlns:r="http://schemas.openxmlformats.org/officeDocument/2006/relationships" name="Skill改进" sheetId="8" r:id="R3322946b92fb4179"/>
    <x:sheet xmlns:r="http://schemas.openxmlformats.org/officeDocument/2006/relationships" name="Sandisk回归" sheetId="9" r:id="R71d9bd02c9294acf"/>
    <x:sheet xmlns:r="http://schemas.openxmlformats.org/officeDocument/2006/relationships" name="下一轮待办" sheetId="10" r:id="Rae280f1a026b4bee"/>
    <x:sheet xmlns:r="http://schemas.openxmlformats.org/officeDocument/2006/relationships" name="证据台账" sheetId="11" r:id="Rbe23e9e75d6e4c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;[Red](0.0%);-"/>
    <x:numFmt numFmtId="201" formatCode="0.0"/>
    <x:numFmt numFmtId="202" formatCode="0.000"/>
    <x:numFmt numFmtId="203" formatCode="#,##0.0;[Red](#,##0.0);-"/>
    <x:numFmt numFmtId="204" formatCode="$0.00;[Red]($0.00);-"/>
    <x:numFmt numFmtId="205" formatCode="$#,##0.00;[Red]($#,##0.00);-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9"/>
      <x:color rgb="FF344054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b/>
      <x:sz val="10"/>
      <x:color rgb="FF7F6000"/>
      <x:name val="Carlito"/>
    </x:font>
    <x:font>
      <x:sz val="11"/>
      <x:color rgb="FF008000"/>
      <x:name val="Carlito"/>
    </x:font>
    <x:font>
      <x:sz val="11"/>
      <x:color rgb="FF0000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0F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201" fontId="0" fillId="6" borderId="0" xfId="0" applyNumberFormat="1" applyFont="1" applyFill="1" applyBorder="1"/>
    <x:xf numFmtId="202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/>
    <x:xf numFmtId="201" fontId="0" fillId="6" borderId="1" xfId="0" applyNumberFormat="1" applyFont="1" applyFill="1" applyBorder="1"/>
    <x:xf numFmtId="202" fontId="0" fillId="6" borderId="1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201" fontId="0" fillId="7" borderId="0" xfId="0" applyNumberFormat="1" applyFont="1" applyFill="1" applyBorder="1"/>
    <x:xf numFmtId="202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7" borderId="1" xfId="0" applyNumberFormat="1" applyFont="1" applyFill="1" applyBorder="1"/>
    <x:xf numFmtId="201" fontId="0" fillId="7" borderId="1" xfId="0" applyNumberFormat="1" applyFont="1" applyFill="1" applyBorder="1"/>
    <x:xf numFmtId="202" fontId="0" fillId="7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/>
    <x:xf numFmtId="0" fontId="0" fillId="9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6" fillId="0" borderId="1" xfId="0" applyNumberFormat="1" applyFont="1" applyFill="1" applyBorder="1"/>
    <x:xf numFmtId="203" fontId="6" fillId="0" borderId="1" xfId="0" applyNumberFormat="1" applyFont="1" applyFill="1" applyBorder="1"/>
    <x:xf numFmtId="0" fontId="7" fillId="8" borderId="0" xfId="0" applyNumberFormat="1" applyFont="1" applyFill="1" applyBorder="1"/>
    <x:xf numFmtId="203" fontId="7" fillId="8" borderId="0" xfId="0" applyNumberFormat="1" applyFont="1" applyFill="1" applyBorder="1"/>
    <x:xf numFmtId="0" fontId="7" fillId="8" borderId="1" xfId="0" applyNumberFormat="1" applyFont="1" applyFill="1" applyBorder="1"/>
    <x:xf numFmtId="203" fontId="7" fillId="8" borderId="1" xfId="0" applyNumberFormat="1" applyFont="1" applyFill="1" applyBorder="1"/>
    <x:xf numFmtId="0" fontId="0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0431fd585f4323" /><Relationship Type="http://schemas.openxmlformats.org/officeDocument/2006/relationships/theme" Target="/xl/theme/theme1.xml" Id="Ref2632ad393f4b13" /><Relationship Type="http://schemas.openxmlformats.org/officeDocument/2006/relationships/sharedStrings" Target="/xl/sharedStrings.xml" Id="Re6dcc0e6f3574fb7" /><Relationship Type="http://schemas.openxmlformats.org/officeDocument/2006/relationships/worksheet" Target="/xl/worksheets/sheet1.xml" Id="Rda37082661ef41a9" /><Relationship Type="http://schemas.openxmlformats.org/officeDocument/2006/relationships/worksheet" Target="/xl/worksheets/sheet2.xml" Id="R90ed4b5ea3f5427e" /><Relationship Type="http://schemas.openxmlformats.org/officeDocument/2006/relationships/worksheet" Target="/xl/worksheets/sheet3.xml" Id="Rc9264f7dd95046a2" /><Relationship Type="http://schemas.openxmlformats.org/officeDocument/2006/relationships/worksheet" Target="/xl/worksheets/sheet4.xml" Id="Rc0cf238836de4da2" /><Relationship Type="http://schemas.openxmlformats.org/officeDocument/2006/relationships/worksheet" Target="/xl/worksheets/sheet5.xml" Id="Rd2a3c7c185ee4ca8" /><Relationship Type="http://schemas.openxmlformats.org/officeDocument/2006/relationships/worksheet" Target="/xl/worksheets/sheet6.xml" Id="Rd65f7e2f4a95479b" /><Relationship Type="http://schemas.openxmlformats.org/officeDocument/2006/relationships/worksheet" Target="/xl/worksheets/sheet7.xml" Id="Rbca7c6088d554baf" /><Relationship Type="http://schemas.openxmlformats.org/officeDocument/2006/relationships/worksheet" Target="/xl/worksheets/sheet8.xml" Id="R3322946b92fb4179" /><Relationship Type="http://schemas.openxmlformats.org/officeDocument/2006/relationships/worksheet" Target="/xl/worksheets/sheet9.xml" Id="R71d9bd02c9294acf" /><Relationship Type="http://schemas.openxmlformats.org/officeDocument/2006/relationships/worksheet" Target="/xl/worksheets/sheet10.xml" Id="Rae280f1a026b4bee" /><Relationship Type="http://schemas.openxmlformats.org/officeDocument/2006/relationships/worksheet" Target="/xl/worksheets/sheet11.xml" Id="Rbe23e9e75d6e4c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80bde1c50c45d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伪留出误差：v6.1 vs v6.2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v6.1</c:v>
          </c:tx>
          <c:cat>
            <c:strRef>
              <c:f>'摘要'!$H$11:$H$12</c:f>
              <c:strCache>
                <c:ptCount val="0"/>
              </c:strCache>
            </c:strRef>
          </c:cat>
          <c:val>
            <c:numRef>
              <c:f>'摘要'!$I$11:$I$12</c:f>
              <c:numCache>
                <c:formatCode>0.0%;[Red](0.0%);-</c:formatCode>
                <c:ptCount val="0"/>
              </c:numCache>
            </c:numRef>
          </c:val>
        </c:ser>
        <c:ser>
          <c:idx val="1"/>
          <c:order val="1"/>
          <c:tx>
            <c:v>v6.2</c:v>
          </c:tx>
          <c:cat>
            <c:strRef>
              <c:f>'摘要'!$H$11:$H$12</c:f>
              <c:strCache>
                <c:ptCount val="0"/>
              </c:strCache>
            </c:strRef>
          </c:cat>
          <c:val>
            <c:numRef>
              <c:f>'摘要'!$J$11:$J$12</c:f>
              <c:numCache>
                <c:formatCode>0.0%;[Red](0.0%);-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80bde1c50c45d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fbcc40f3d8a4ea2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18" hidden="0" customWidth="1"/>
    <x:col min="4" max="4" width="18" hidden="0" customWidth="1"/>
    <x:col min="5" max="5" width="43" hidden="0" customWidth="1"/>
    <x:col min="6" max="6" width="4" hidden="0" customWidth="1"/>
    <x:col min="7" max="7" width="14" hidden="0" customWidth="1"/>
    <x:col min="8" max="8" width="18" hidden="0" customWidth="1"/>
    <x:col min="9" max="9" width="15" hidden="0" customWidth="1"/>
    <x:col min="10" max="10" width="15" hidden="0" customWidth="1"/>
    <x:col min="11" max="11" width="12" hidden="0" customWidth="1"/>
    <x:col min="12" max="12" width="12" hidden="0" customWidth="1"/>
  </x:cols>
  <x:sheetData>
    <x:row r="1" ht="28" customHeight="1">
      <x:c r="A1" s="4" t="str">
        <x:v>AI硬件预测Skill v6.2：Lam Research / KLA回测与Sandisk回归</x:v>
      </x:c>
      <x:c r="B1" s="4" t="str">
        <x:v>AI硬件预测Skill v6.2：Lam Research / KLA回测与Sandisk回归</x:v>
      </x:c>
      <x:c r="C1" s="4" t="str">
        <x:v>AI硬件预测Skill v6.2：Lam Research / KLA回测与Sandisk回归</x:v>
      </x:c>
      <x:c r="D1" s="4" t="str">
        <x:v>AI硬件预测Skill v6.2：Lam Research / KLA回测与Sandisk回归</x:v>
      </x:c>
      <x:c r="E1" s="4" t="str">
        <x:v>AI硬件预测Skill v6.2：Lam Research / KLA回测与Sandisk回归</x:v>
      </x:c>
      <x:c r="F1" s="4" t="str">
        <x:v>AI硬件预测Skill v6.2：Lam Research / KLA回测与Sandisk回归</x:v>
      </x:c>
      <x:c r="G1" s="4" t="str">
        <x:v>AI硬件预测Skill v6.2：Lam Research / KLA回测与Sandisk回归</x:v>
      </x:c>
      <x:c r="H1" s="4" t="str">
        <x:v>AI硬件预测Skill v6.2：Lam Research / KLA回测与Sandisk回归</x:v>
      </x:c>
      <x:c r="I1" s="4" t="str">
        <x:v>AI硬件预测Skill v6.2：Lam Research / KLA回测与Sandisk回归</x:v>
      </x:c>
      <x:c r="J1" s="4" t="str">
        <x:v>AI硬件预测Skill v6.2：Lam Research / KLA回测与Sandisk回归</x:v>
      </x:c>
      <x:c r="K1" s="4" t="str">
        <x:v>AI硬件预测Skill v6.2：Lam Research / KLA回测与Sandisk回归</x:v>
      </x:c>
      <x:c r="L1" s="4" t="str">
        <x:v>AI硬件预测Skill v6.2：Lam Research / KLA回测与Sandisk回归</x:v>
      </x:c>
    </x:row>
    <x:row r="2" ht="35" customHeight="1">
      <x:c r="A2" s="11" t="str">
        <x:v>本轮只修改设备与过程控制原型。历史预测为回顾性点时点模拟，不是真正预注册样本外；Sandisk使用锁定快照做非目标原型零差异回归。</x:v>
      </x:c>
      <x:c r="B2" s="11" t="str">
        <x:v>本轮只修改设备与过程控制原型。历史预测为回顾性点时点模拟，不是真正预注册样本外；Sandisk使用锁定快照做非目标原型零差异回归。</x:v>
      </x:c>
      <x:c r="C2" s="11" t="str">
        <x:v>本轮只修改设备与过程控制原型。历史预测为回顾性点时点模拟，不是真正预注册样本外；Sandisk使用锁定快照做非目标原型零差异回归。</x:v>
      </x:c>
      <x:c r="D2" s="11" t="str">
        <x:v>本轮只修改设备与过程控制原型。历史预测为回顾性点时点模拟，不是真正预注册样本外；Sandisk使用锁定快照做非目标原型零差异回归。</x:v>
      </x:c>
      <x:c r="E2" s="11" t="str">
        <x:v>本轮只修改设备与过程控制原型。历史预测为回顾性点时点模拟，不是真正预注册样本外；Sandisk使用锁定快照做非目标原型零差异回归。</x:v>
      </x:c>
      <x:c r="F2" s="11" t="str">
        <x:v>本轮只修改设备与过程控制原型。历史预测为回顾性点时点模拟，不是真正预注册样本外；Sandisk使用锁定快照做非目标原型零差异回归。</x:v>
      </x:c>
      <x:c r="G2" s="11" t="str">
        <x:v>本轮只修改设备与过程控制原型。历史预测为回顾性点时点模拟，不是真正预注册样本外；Sandisk使用锁定快照做非目标原型零差异回归。</x:v>
      </x:c>
      <x:c r="H2" s="11" t="str">
        <x:v>本轮只修改设备与过程控制原型。历史预测为回顾性点时点模拟，不是真正预注册样本外；Sandisk使用锁定快照做非目标原型零差异回归。</x:v>
      </x:c>
      <x:c r="I2" s="11" t="str">
        <x:v>本轮只修改设备与过程控制原型。历史预测为回顾性点时点模拟，不是真正预注册样本外；Sandisk使用锁定快照做非目标原型零差异回归。</x:v>
      </x:c>
      <x:c r="J2" s="11" t="str">
        <x:v>本轮只修改设备与过程控制原型。历史预测为回顾性点时点模拟，不是真正预注册样本外；Sandisk使用锁定快照做非目标原型零差异回归。</x:v>
      </x:c>
      <x:c r="K2" s="11" t="str">
        <x:v>本轮只修改设备与过程控制原型。历史预测为回顾性点时点模拟，不是真正预注册样本外；Sandisk使用锁定快照做非目标原型零差异回归。</x:v>
      </x:c>
      <x:c r="L2" s="11" t="str">
        <x:v>本轮只修改设备与过程控制原型。历史预测为回顾性点时点模拟，不是真正预注册样本外；Sandisk使用锁定快照做非目标原型零差异回归。</x:v>
      </x:c>
    </x:row>
    <x:row r="4" ht="21" customHeight="1">
      <x:c r="A4" s="18" t="str">
        <x:v>一、伪留出回测</x:v>
      </x:c>
      <x:c r="B4" s="18" t="str">
        <x:v>一、伪留出回测</x:v>
      </x:c>
      <x:c r="C4" s="18" t="str">
        <x:v>一、伪留出回测</x:v>
      </x:c>
      <x:c r="D4" s="18" t="str">
        <x:v>一、伪留出回测</x:v>
      </x:c>
      <x:c r="E4" s="18" t="str">
        <x:v>一、伪留出回测</x:v>
      </x:c>
      <x:c r="F4" s="18" t="str">
        <x:v>一、伪留出回测</x:v>
      </x:c>
      <x:c r="G4" s="18" t="str">
        <x:v>一、伪留出回测</x:v>
      </x:c>
      <x:c r="H4" s="18" t="str">
        <x:v>一、伪留出回测</x:v>
      </x:c>
      <x:c r="I4" s="18" t="str">
        <x:v>一、伪留出回测</x:v>
      </x:c>
      <x:c r="J4" s="18" t="str">
        <x:v>一、伪留出回测</x:v>
      </x:c>
      <x:c r="K4" s="18" t="str">
        <x:v>一、伪留出回测</x:v>
      </x:c>
      <x:c r="L4" s="18" t="str">
        <x:v>一、伪留出回测</x:v>
      </x:c>
    </x:row>
    <x:row r="5" ht="28" customHeight="1">
      <x:c r="A5" s="26" t="str">
        <x:v>版本</x:v>
      </x:c>
      <x:c r="B5" s="26" t="str">
        <x:v>收入MAPE</x:v>
      </x:c>
      <x:c r="C5" s="26" t="str">
        <x:v>利润率误差pp</x:v>
      </x:c>
      <x:c r="D5" s="26" t="str">
        <x:v>收入方向</x:v>
      </x:c>
      <x:c r="E5" s="26" t="str">
        <x:v>利润符号</x:v>
      </x:c>
      <x:c r="F5" s="26" t="str">
        <x:v>收入覆盖</x:v>
      </x:c>
      <x:c r="G5" s="26" t="str">
        <x:v>利润覆盖</x:v>
      </x:c>
      <x:c r="H5" s="26" t="str">
        <x:v>收入区间分数</x:v>
      </x:c>
      <x:c r="I5" s="26" t="str">
        <x:v>利润区间分数</x:v>
      </x:c>
      <x:c r="J5" s="26" t="str">
        <x:v>结论</x:v>
      </x:c>
    </x:row>
    <x:row r="6">
      <x:c r="A6" s="38" t="str">
        <x:v>v6.1</x:v>
      </x:c>
      <x:c r="B6" s="39" t="n">
        <x:v>0.11271161967909715</x:v>
      </x:c>
      <x:c r="C6" s="40" t="n">
        <x:v>2.4744480697027</x:v>
      </x:c>
      <x:c r="D6" s="39" t="n">
        <x:v>0.6666666666666666</x:v>
      </x:c>
      <x:c r="E6" s="39" t="n">
        <x:v>1</x:v>
      </x:c>
      <x:c r="F6" s="39" t="n">
        <x:v>0.75</x:v>
      </x:c>
      <x:c r="G6" s="39" t="n">
        <x:v>0.6666666666666666</x:v>
      </x:c>
      <x:c r="H6" s="41" t="n">
        <x:v>0.457062664622311</x:v>
      </x:c>
      <x:c r="I6" s="41" t="n">
        <x:v>0.23424584230280387</x:v>
      </x:c>
      <x:c r="J6" s="38" t="str">
        <x:v>原型过于粗糙</x:v>
      </x:c>
    </x:row>
    <x:row r="7">
      <x:c r="A7" s="46" t="str">
        <x:v>v6.2</x:v>
      </x:c>
      <x:c r="B7" s="47" t="n">
        <x:v>0.03661733709125043</x:v>
      </x:c>
      <x:c r="C7" s="48" t="n">
        <x:v>0.5998569530976897</x:v>
      </x:c>
      <x:c r="D7" s="47" t="n">
        <x:v>0.9166666666666666</x:v>
      </x:c>
      <x:c r="E7" s="47" t="n">
        <x:v>1</x:v>
      </x:c>
      <x:c r="F7" s="47" t="n">
        <x:v>1</x:v>
      </x:c>
      <x:c r="G7" s="47" t="n">
        <x:v>0.9166666666666666</x:v>
      </x:c>
      <x:c r="H7" s="49" t="n">
        <x:v>0.28465959442390426</x:v>
      </x:c>
      <x:c r="I7" s="49" t="n">
        <x:v>0.11491842350353353</x:v>
      </x:c>
      <x:c r="J7" s="46" t="str">
        <x:v>通过</x:v>
      </x:c>
    </x:row>
    <x:row r="9" ht="21" customHeight="1">
      <x:c r="A9" s="18" t="str">
        <x:v>二、按公司</x:v>
      </x:c>
      <x:c r="B9" s="18" t="str">
        <x:v>二、按公司</x:v>
      </x:c>
      <x:c r="C9" s="18" t="str">
        <x:v>二、按公司</x:v>
      </x:c>
      <x:c r="D9" s="18" t="str">
        <x:v>二、按公司</x:v>
      </x:c>
      <x:c r="E9" s="18" t="str">
        <x:v>二、按公司</x:v>
      </x:c>
      <x:c r="F9" s="18" t="str">
        <x:v>二、按公司</x:v>
      </x:c>
      <x:c r="G9" s="18" t="str">
        <x:v>二、按公司</x:v>
      </x:c>
      <x:c r="H9" s="18" t="str">
        <x:v>二、按公司</x:v>
      </x:c>
      <x:c r="I9" s="18" t="str">
        <x:v>二、按公司</x:v>
      </x:c>
      <x:c r="J9" s="18" t="str">
        <x:v>二、按公司</x:v>
      </x:c>
      <x:c r="K9" s="18" t="str">
        <x:v>二、按公司</x:v>
      </x:c>
      <x:c r="L9" s="18" t="str">
        <x:v>二、按公司</x:v>
      </x:c>
    </x:row>
    <x:row r="10" ht="28" customHeight="1">
      <x:c r="A10" s="26" t="str">
        <x:v>公司</x:v>
      </x:c>
      <x:c r="B10" s="26" t="str">
        <x:v>版本</x:v>
      </x:c>
      <x:c r="C10" s="26" t="str">
        <x:v>收入MAPE</x:v>
      </x:c>
      <x:c r="D10" s="26" t="str">
        <x:v>利润率误差pp</x:v>
      </x:c>
      <x:c r="E10" s="26" t="str">
        <x:v>收入方向</x:v>
      </x:c>
      <x:c r="F10" s="26" t="str">
        <x:v>收入覆盖</x:v>
      </x:c>
      <x:c r="G10" s="26" t="str">
        <x:v>利润覆盖</x:v>
      </x:c>
      <x:c r="H10" s="26" t="str">
        <x:v>指标</x:v>
      </x:c>
      <x:c r="I10" s="26" t="str">
        <x:v>v6.1</x:v>
      </x:c>
      <x:c r="J10" s="26" t="str">
        <x:v>v6.2</x:v>
      </x:c>
    </x:row>
    <x:row r="11">
      <x:c r="A11" t="str">
        <x:v>Lam Research</x:v>
      </x:c>
      <x:c r="B11" t="str">
        <x:v>v6.1</x:v>
      </x:c>
      <x:c r="C11" s="32" t="n">
        <x:v>0.1470865183676153</x:v>
      </x:c>
      <x:c r="D11" s="34" t="n">
        <x:v>1.8432505401727788</x:v>
      </x:c>
      <x:c r="E11" s="32" t="n">
        <x:v>0.6666666666666666</x:v>
      </x:c>
      <x:c r="F11" s="32" t="n">
        <x:v>0.6666666666666666</x:v>
      </x:c>
      <x:c r="G11" s="32" t="n">
        <x:v>0.6666666666666666</x:v>
      </x:c>
      <x:c r="H11" t="str">
        <x:v>收入MAPE</x:v>
      </x:c>
      <x:c r="I11" s="32" t="n">
        <x:v>0.11271161967909715</x:v>
      </x:c>
      <x:c r="J11" s="32" t="n">
        <x:v>0.03661733709125043</x:v>
      </x:c>
    </x:row>
    <x:row r="12">
      <x:c r="A12" t="str">
        <x:v>Lam Research</x:v>
      </x:c>
      <x:c r="B12" t="str">
        <x:v>v6.2</x:v>
      </x:c>
      <x:c r="C12" s="32" t="n">
        <x:v>0.03360104184612692</x:v>
      </x:c>
      <x:c r="D12" s="34" t="n">
        <x:v>0.45816587032415734</x:v>
      </x:c>
      <x:c r="E12" s="32" t="n">
        <x:v>0.8333333333333334</x:v>
      </x:c>
      <x:c r="F12" s="32" t="n">
        <x:v>1</x:v>
      </x:c>
      <x:c r="G12" s="32" t="n">
        <x:v>1</x:v>
      </x:c>
      <x:c r="H12" t="str">
        <x:v>利润率误差/100</x:v>
      </x:c>
      <x:c r="I12" s="32" t="n">
        <x:v>0.024744480697026998</x:v>
      </x:c>
      <x:c r="J12" s="32" t="n">
        <x:v>0.0059985695309768975</x:v>
      </x:c>
    </x:row>
    <x:row r="13">
      <x:c r="A13" t="str">
        <x:v>KLA</x:v>
      </x:c>
      <x:c r="B13" t="str">
        <x:v>v6.1</x:v>
      </x:c>
      <x:c r="C13" s="32" t="n">
        <x:v>0.07833672099057902</x:v>
      </x:c>
      <x:c r="D13" s="34" t="n">
        <x:v>3.1056455992326204</x:v>
      </x:c>
      <x:c r="E13" s="32" t="n">
        <x:v>0.6666666666666666</x:v>
      </x:c>
      <x:c r="F13" s="32" t="n">
        <x:v>0.8333333333333334</x:v>
      </x:c>
      <x:c r="G13" s="32" t="n">
        <x:v>0.6666666666666666</x:v>
      </x:c>
    </x:row>
    <x:row r="14">
      <x:c r="A14" t="str">
        <x:v>KLA</x:v>
      </x:c>
      <x:c r="B14" t="str">
        <x:v>v6.2</x:v>
      </x:c>
      <x:c r="C14" s="32" t="n">
        <x:v>0.03963363233637395</x:v>
      </x:c>
      <x:c r="D14" s="34" t="n">
        <x:v>0.741548035871222</x:v>
      </x:c>
      <x:c r="E14" s="32" t="n">
        <x:v>1</x:v>
      </x:c>
      <x:c r="F14" s="32" t="n">
        <x:v>1</x:v>
      </x:c>
      <x:c r="G14" s="32" t="n">
        <x:v>0.8333333333333334</x:v>
      </x:c>
    </x:row>
    <x:row r="16" ht="21" customHeight="1">
      <x:c r="A16" s="18" t="str">
        <x:v>三、关键发现</x:v>
      </x:c>
      <x:c r="B16" s="18" t="str">
        <x:v>三、关键发现</x:v>
      </x:c>
      <x:c r="C16" s="18" t="str">
        <x:v>三、关键发现</x:v>
      </x:c>
      <x:c r="D16" s="18" t="str">
        <x:v>三、关键发现</x:v>
      </x:c>
      <x:c r="E16" s="18" t="str">
        <x:v>三、关键发现</x:v>
      </x:c>
      <x:c r="F16" s="18" t="str">
        <x:v>三、关键发现</x:v>
      </x:c>
      <x:c r="G16" s="18" t="str">
        <x:v>三、关键发现</x:v>
      </x:c>
      <x:c r="H16" s="18" t="str">
        <x:v>三、关键发现</x:v>
      </x:c>
      <x:c r="I16" s="18" t="str">
        <x:v>三、关键发现</x:v>
      </x:c>
      <x:c r="J16" s="18" t="str">
        <x:v>三、关键发现</x:v>
      </x:c>
      <x:c r="K16" s="18" t="str">
        <x:v>三、关键发现</x:v>
      </x:c>
      <x:c r="L16" s="18" t="str">
        <x:v>三、关键发现</x:v>
      </x:c>
    </x:row>
    <x:row r="17" ht="28" customHeight="1">
      <x:c r="A17" s="26" t="str">
        <x:v>发现</x:v>
      </x:c>
      <x:c r="B17" s="26" t="str">
        <x:v>旧方法问题</x:v>
      </x:c>
      <x:c r="C17" s="26" t="str">
        <x:v>v6.2修正</x:v>
      </x:c>
      <x:c r="D17" s="26" t="str">
        <x:v>跨案例证据</x:v>
      </x:c>
      <x:c r="E17" s="26" t="str">
        <x:v>影响</x:v>
      </x:c>
    </x:row>
    <x:row r="18" ht="65" customHeight="1">
      <x:c r="A18" s="54" t="str">
        <x:v>Lam CSBG收入质量</x:v>
      </x:c>
      <x:c r="B18" s="54" t="str">
        <x:v>将Customer Support Business Group整体视为稳定服务</x:v>
      </x:c>
      <x:c r="C18" s="54" t="str">
        <x:v>拆为递延/合同服务、备件、升级、Reliant成熟节点设备；不同部分使用不同周期弹性</x:v>
      </x:c>
      <x:c r="D18" s="54" t="str">
        <x:v>FY23 CSBG仍增长、FY24又下降，说明并非纯年金</x:v>
      </x:c>
      <x:c r="E18" s="54" t="str">
        <x:v>改善两三年下行判断</x:v>
      </x:c>
    </x:row>
    <x:row r="19" ht="65" customHeight="1">
      <x:c r="A19" s="54" t="str">
        <x:v>Lam客户支出结构</x:v>
      </x:c>
      <x:c r="B19" s="54" t="str">
        <x:v>只使用总WFE或memory/foundry大类</x:v>
      </x:c>
      <x:c r="C19" s="54" t="str">
        <x:v>至少拆DRAM、NAND、foundry、logic/IDM，并叠加地域与出口限制</x:v>
      </x:c>
      <x:c r="D19" s="54" t="str">
        <x:v>FY24 NVM弱、DRAM和中国需求部分抵消</x:v>
      </x:c>
      <x:c r="E19" s="54" t="str">
        <x:v>避免memory总量掩盖错位</x:v>
      </x:c>
    </x:row>
    <x:row r="20" ht="65" customHeight="1">
      <x:c r="A20" s="54" t="str">
        <x:v>Lam递延收入</x:v>
      </x:c>
      <x:c r="B20" s="54" t="str">
        <x:v>将deferred revenue视为同质收入保护</x:v>
      </x:c>
      <x:c r="C20" s="54" t="str">
        <x:v>拆客户预付款、已出货待验收工具、未来服务；分别设确认率</x:v>
      </x:c>
      <x:c r="D20" s="54" t="str">
        <x:v>FY21–22递延收入快速上升且构成混合</x:v>
      </x:c>
      <x:c r="E20" s="54" t="str">
        <x:v>改善交付时点</x:v>
      </x:c>
    </x:row>
    <x:row r="21" ht="65" customHeight="1">
      <x:c r="A21" s="54" t="str">
        <x:v>KLA内容强度</x:v>
      </x:c>
      <x:c r="B21" s="54" t="str">
        <x:v>把过程控制收入近似总WFE增长</x:v>
      </x:c>
      <x:c r="C21" s="54" t="str">
        <x:v>拆technology-development spend与capacity spend；按wafer inspection、patterning、specialty、PCB/display和service建模</x:v>
      </x:c>
      <x:c r="D21" s="54" t="str">
        <x:v>先进节点复杂度提升可使KLA跑赢总WFE</x:v>
      </x:c>
      <x:c r="E21" s="54" t="str">
        <x:v>改善增长和拐点</x:v>
      </x:c>
    </x:row>
    <x:row r="22" ht="65" customHeight="1">
      <x:c r="A22" s="54" t="str">
        <x:v>KLA利润桥</x:v>
      </x:c>
      <x:c r="B22" s="54" t="str">
        <x:v>未充分处理Orbotech边界、服务装机基数、RPO/合同负债和减值</x:v>
      </x:c>
      <x:c r="C22" s="54" t="str">
        <x:v>分产品/服务、企业边界、确认时点与会计桥</x:v>
      </x:c>
      <x:c r="D22" s="54" t="str">
        <x:v>FY24收入回落且有减值，FY25再由AI/先进封装驱动</x:v>
      </x:c>
      <x:c r="E22" s="54" t="str">
        <x:v>降低利润率误差</x:v>
      </x:c>
    </x:row>
    <x:row r="24" ht="21" customHeight="1">
      <x:c r="A24" s="18" t="str">
        <x:v>四、Sandisk非目标原型回归</x:v>
      </x:c>
      <x:c r="B24" s="18" t="str">
        <x:v>四、Sandisk非目标原型回归</x:v>
      </x:c>
      <x:c r="C24" s="18" t="str">
        <x:v>四、Sandisk非目标原型回归</x:v>
      </x:c>
      <x:c r="D24" s="18" t="str">
        <x:v>四、Sandisk非目标原型回归</x:v>
      </x:c>
      <x:c r="E24" s="18" t="str">
        <x:v>四、Sandisk非目标原型回归</x:v>
      </x:c>
      <x:c r="F24" s="18" t="str">
        <x:v>四、Sandisk非目标原型回归</x:v>
      </x:c>
      <x:c r="G24" s="18" t="str">
        <x:v>四、Sandisk非目标原型回归</x:v>
      </x:c>
      <x:c r="H24" s="18" t="str">
        <x:v>四、Sandisk非目标原型回归</x:v>
      </x:c>
      <x:c r="I24" s="18" t="str">
        <x:v>四、Sandisk非目标原型回归</x:v>
      </x:c>
      <x:c r="J24" s="18" t="str">
        <x:v>四、Sandisk非目标原型回归</x:v>
      </x:c>
      <x:c r="K24" s="18" t="str">
        <x:v>四、Sandisk非目标原型回归</x:v>
      </x:c>
      <x:c r="L24" s="18" t="str">
        <x:v>四、Sandisk非目标原型回归</x:v>
      </x:c>
    </x:row>
    <x:row r="25" ht="28" customHeight="1">
      <x:c r="A25" s="26" t="str">
        <x:v>检查项</x:v>
      </x:c>
      <x:c r="B25" s="26" t="str">
        <x:v>v6.1锁定值</x:v>
      </x:c>
      <x:c r="C25" s="26" t="str">
        <x:v>v6.2值</x:v>
      </x:c>
      <x:c r="D25" s="26" t="str">
        <x:v>差异</x:v>
      </x:c>
      <x:c r="E25" s="26" t="str">
        <x:v>结论</x:v>
      </x:c>
    </x:row>
    <x:row r="26">
      <x:c r="A26" t="str">
        <x:v>FY27营业收入</x:v>
      </x:c>
      <x:c r="B26" s="56" t="n">
        <x:v>32.88074079715288</x:v>
      </x:c>
      <x:c r="C26" s="56" t="n">
        <x:v>32.88074079715288</x:v>
      </x:c>
      <x:c r="D26" s="56" t="n">
        <x:f>C26-B26</x:f>
        <x:v>0</x:v>
      </x:c>
      <x:c r="E26" t="str">
        <x:v>零差异</x:v>
      </x:c>
    </x:row>
    <x:row r="27">
      <x:c r="A27" t="str">
        <x:v>FY28营业收入</x:v>
      </x:c>
      <x:c r="B27" s="56" t="n">
        <x:v>26.038086338983124</x:v>
      </x:c>
      <x:c r="C27" s="56" t="n">
        <x:v>26.038086338983124</x:v>
      </x:c>
      <x:c r="D27" s="56" t="n">
        <x:f>C27-B27</x:f>
        <x:v>0</x:v>
      </x:c>
      <x:c r="E27" t="str">
        <x:v>零差异</x:v>
      </x:c>
    </x:row>
    <x:row r="28">
      <x:c r="A28" t="str">
        <x:v>FY31 EPS</x:v>
      </x:c>
      <x:c r="B28" s="58" t="n">
        <x:v>111.05656712272187</x:v>
      </x:c>
      <x:c r="C28" s="58" t="n">
        <x:v>111.05656712272187</x:v>
      </x:c>
      <x:c r="D28" s="58" t="n">
        <x:f>C28-B28</x:f>
        <x:v>0</x:v>
      </x:c>
      <x:c r="E28" t="str">
        <x:v>零差异</x:v>
      </x:c>
    </x:row>
    <x:row r="29">
      <x:c r="A29" t="str">
        <x:v>Base周期价值中值</x:v>
      </x:c>
      <x:c r="B29" s="60" t="n">
        <x:v>1108.5202757603474</x:v>
      </x:c>
      <x:c r="C29" s="60" t="n">
        <x:v>1108.5202757603474</x:v>
      </x:c>
      <x:c r="D29" s="60" t="n">
        <x:f>C29-B29</x:f>
        <x:v>0</x:v>
      </x:c>
      <x:c r="E29" t="str">
        <x:v>零差异</x:v>
      </x:c>
    </x:row>
    <x:row r="30">
      <x:c r="A30" t="str">
        <x:v>长期正常化价值中值</x:v>
      </x:c>
      <x:c r="B30" s="60" t="n">
        <x:v>860.0212611128536</x:v>
      </x:c>
      <x:c r="C30" s="60" t="n">
        <x:v>860.0212611128536</x:v>
      </x:c>
      <x:c r="D30" s="60" t="n">
        <x:f>C30-B30</x:f>
        <x:v>0</x:v>
      </x:c>
      <x:c r="E30" t="str">
        <x:v>零差异</x:v>
      </x:c>
    </x:row>
    <x:row r="32" ht="21" customHeight="1">
      <x:c r="A32" s="18" t="str">
        <x:v>五、停止条件与下一轮</x:v>
      </x:c>
      <x:c r="B32" s="18" t="str">
        <x:v>五、停止条件与下一轮</x:v>
      </x:c>
      <x:c r="C32" s="18" t="str">
        <x:v>五、停止条件与下一轮</x:v>
      </x:c>
      <x:c r="D32" s="18" t="str">
        <x:v>五、停止条件与下一轮</x:v>
      </x:c>
      <x:c r="E32" s="18" t="str">
        <x:v>五、停止条件与下一轮</x:v>
      </x:c>
      <x:c r="F32" s="18" t="str">
        <x:v>五、停止条件与下一轮</x:v>
      </x:c>
      <x:c r="G32" s="18" t="str">
        <x:v>五、停止条件与下一轮</x:v>
      </x:c>
      <x:c r="H32" s="18" t="str">
        <x:v>五、停止条件与下一轮</x:v>
      </x:c>
      <x:c r="I32" s="18" t="str">
        <x:v>五、停止条件与下一轮</x:v>
      </x:c>
      <x:c r="J32" s="18" t="str">
        <x:v>五、停止条件与下一轮</x:v>
      </x:c>
      <x:c r="K32" s="18" t="str">
        <x:v>五、停止条件与下一轮</x:v>
      </x:c>
      <x:c r="L32" s="18" t="str">
        <x:v>五、停止条件与下一轮</x:v>
      </x:c>
    </x:row>
    <x:row r="33">
      <x:c r="A33" s="65" t="str">
        <x:v>本轮v6.2达到预设门槛：伪留出收入MAPE由11.3%降至3.7%，利润率误差由2.47pp降至0.60pp，收入区间分数改善37.7%，利润区间分数改善50.9%；Sandisk锁定预测与估值零差异。因此停止继续根据Lam/KLA历史结果调点值。下一轮将处理Marvell光模块/数据中心互联，并再次执行Lam、KLA、Sandisk三组回归。</x:v>
      </x:c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</x:row>
  </x:sheetData>
  <x:mergeCells>
    <x:mergeCell ref="A1:L1"/>
    <x:mergeCell ref="A2:L2"/>
    <x:mergeCell ref="A4:L4"/>
    <x:mergeCell ref="A9:L9"/>
    <x:mergeCell ref="A16:L16"/>
    <x:mergeCell ref="A24:L24"/>
    <x:mergeCell ref="A32:L32"/>
    <x:mergeCell ref="A33:L38"/>
  </x:mergeCells>
  <x:pageMargins left="0.7" right="0.7" top="0.75" bottom="0.75" header="0.3" footer="0.3"/>
  <x:drawing xmlns:r="http://schemas.openxmlformats.org/officeDocument/2006/relationships" r:id="R5fbcc40f3d8a4ea2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7" hidden="0" customWidth="1"/>
    <x:col min="3" max="3" width="37" hidden="0" customWidth="1"/>
    <x:col min="4" max="4" width="32" hidden="0" customWidth="1"/>
    <x:col min="5" max="5" width="31" hidden="0" customWidth="1"/>
    <x:col min="6" max="6" width="3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8" customHeight="1">
      <x:c r="A1" s="4" t="str">
        <x:v>验证设计与反过拟合规则</x:v>
      </x:c>
      <x:c r="B1" s="4" t="str">
        <x:v>验证设计与反过拟合规则</x:v>
      </x:c>
      <x:c r="C1" s="4" t="str">
        <x:v>验证设计与反过拟合规则</x:v>
      </x:c>
      <x:c r="D1" s="4" t="str">
        <x:v>验证设计与反过拟合规则</x:v>
      </x:c>
      <x:c r="E1" s="4" t="str">
        <x:v>验证设计与反过拟合规则</x:v>
      </x:c>
      <x:c r="F1" s="4" t="str">
        <x:v>验证设计与反过拟合规则</x:v>
      </x:c>
      <x:c r="G1" s="4" t="str">
        <x:v>验证设计与反过拟合规则</x:v>
      </x:c>
      <x:c r="H1" s="4" t="str">
        <x:v>验证设计与反过拟合规则</x:v>
      </x:c>
      <x:c r="I1" s="4" t="str">
        <x:v>验证设计与反过拟合规则</x:v>
      </x:c>
      <x:c r="J1" s="4" t="str">
        <x:v>验证设计与反过拟合规则</x:v>
      </x:c>
    </x:row>
    <x:row r="2" ht="35" customHeight="1">
      <x:c r="A2" s="11" t="str">
        <x:v>先锁定样本、指标、区间和旧场景，再允许修改设备原型。</x:v>
      </x:c>
      <x:c r="B2" s="11" t="str">
        <x:v>先锁定样本、指标、区间和旧场景，再允许修改设备原型。</x:v>
      </x:c>
      <x:c r="C2" s="11" t="str">
        <x:v>先锁定样本、指标、区间和旧场景，再允许修改设备原型。</x:v>
      </x:c>
      <x:c r="D2" s="11" t="str">
        <x:v>先锁定样本、指标、区间和旧场景，再允许修改设备原型。</x:v>
      </x:c>
      <x:c r="E2" s="11" t="str">
        <x:v>先锁定样本、指标、区间和旧场景，再允许修改设备原型。</x:v>
      </x:c>
      <x:c r="F2" s="11" t="str">
        <x:v>先锁定样本、指标、区间和旧场景，再允许修改设备原型。</x:v>
      </x:c>
      <x:c r="G2" s="11" t="str">
        <x:v>先锁定样本、指标、区间和旧场景，再允许修改设备原型。</x:v>
      </x:c>
      <x:c r="H2" s="11" t="str">
        <x:v>先锁定样本、指标、区间和旧场景，再允许修改设备原型。</x:v>
      </x:c>
      <x:c r="I2" s="11" t="str">
        <x:v>先锁定样本、指标、区间和旧场景，再允许修改设备原型。</x:v>
      </x:c>
      <x:c r="J2" s="11" t="str">
        <x:v>先锁定样本、指标、区间和旧场景，再允许修改设备原型。</x:v>
      </x:c>
    </x:row>
    <x:row r="4" ht="28" customHeight="1">
      <x:c r="A4" s="26" t="str">
        <x:v>数据组</x:v>
      </x:c>
      <x:c r="B4" s="26" t="str">
        <x:v>案例</x:v>
      </x:c>
      <x:c r="C4" s="26" t="str">
        <x:v>用途</x:v>
      </x:c>
      <x:c r="D4" s="26" t="str">
        <x:v>允许修改</x:v>
      </x:c>
      <x:c r="E4" s="26" t="str">
        <x:v>评价</x:v>
      </x:c>
      <x:c r="F4" s="26" t="str">
        <x:v>备注</x:v>
      </x:c>
    </x:row>
    <x:row r="5" ht="43" customHeight="1">
      <x:c r="A5" s="54" t="str">
        <x:v>校准集</x:v>
      </x:c>
      <x:c r="B5" s="54" t="str">
        <x:v>LRCX@FY2020</x:v>
      </x:c>
      <x:c r="C5" s="54" t="str">
        <x:v>发现设备收入质量缺口</x:v>
      </x:c>
      <x:c r="D5" s="54" t="str">
        <x:v>允许改结构</x:v>
      </x:c>
      <x:c r="E5" s="54" t="str">
        <x:v>收入/利润/方向/区间</x:v>
      </x:c>
      <x:c r="F5" s="54" t="str">
        <x:v>不作为泛化证据</x:v>
      </x:c>
    </x:row>
    <x:row r="6" ht="43" customHeight="1">
      <x:c r="A6" s="54" t="str">
        <x:v>校准集</x:v>
      </x:c>
      <x:c r="B6" s="54" t="str">
        <x:v>KLA@FY2020</x:v>
      </x:c>
      <x:c r="C6" s="54" t="str">
        <x:v>发现过程控制内容强度缺口</x:v>
      </x:c>
      <x:c r="D6" s="54" t="str">
        <x:v>允许改结构</x:v>
      </x:c>
      <x:c r="E6" s="54" t="str">
        <x:v>同上</x:v>
      </x:c>
      <x:c r="F6" s="54" t="str">
        <x:v>不作为泛化证据</x:v>
      </x:c>
    </x:row>
    <x:row r="7" ht="43" customHeight="1">
      <x:c r="A7" s="54" t="str">
        <x:v>伪留出集</x:v>
      </x:c>
      <x:c r="B7" s="54" t="str">
        <x:v>LRCX@FY2021</x:v>
      </x:c>
      <x:c r="C7" s="54" t="str">
        <x:v>晚周期到下行</x:v>
      </x:c>
      <x:c r="D7" s="54" t="str">
        <x:v>点值不得回写</x:v>
      </x:c>
      <x:c r="E7" s="54" t="str">
        <x:v>同上</x:v>
      </x:c>
      <x:c r="F7" s="54" t="str"/>
    </x:row>
    <x:row r="8" ht="43" customHeight="1">
      <x:c r="A8" s="54" t="str">
        <x:v>伪留出集</x:v>
      </x:c>
      <x:c r="B8" s="54" t="str">
        <x:v>LRCX@FY2022</x:v>
      </x:c>
      <x:c r="C8" s="54" t="str">
        <x:v>存储WFE下行与恢复</x:v>
      </x:c>
      <x:c r="D8" s="54" t="str">
        <x:v>点值不得回写</x:v>
      </x:c>
      <x:c r="E8" s="54" t="str">
        <x:v>同上</x:v>
      </x:c>
      <x:c r="F8" s="54" t="str"/>
    </x:row>
    <x:row r="9" ht="43" customHeight="1">
      <x:c r="A9" s="54" t="str">
        <x:v>伪留出集</x:v>
      </x:c>
      <x:c r="B9" s="54" t="str">
        <x:v>KLA@FY2021</x:v>
      </x:c>
      <x:c r="C9" s="54" t="str">
        <x:v>内容强度增长后回落</x:v>
      </x:c>
      <x:c r="D9" s="54" t="str">
        <x:v>点值不得回写</x:v>
      </x:c>
      <x:c r="E9" s="54" t="str">
        <x:v>同上</x:v>
      </x:c>
      <x:c r="F9" s="54" t="str"/>
    </x:row>
    <x:row r="10" ht="43" customHeight="1">
      <x:c r="A10" s="54" t="str">
        <x:v>伪留出集</x:v>
      </x:c>
      <x:c r="B10" s="54" t="str">
        <x:v>KLA@FY2022</x:v>
      </x:c>
      <x:c r="C10" s="54" t="str">
        <x:v>FY23增长、FY24调整、FY25恢复</x:v>
      </x:c>
      <x:c r="D10" s="54" t="str">
        <x:v>点值不得回写</x:v>
      </x:c>
      <x:c r="E10" s="54" t="str">
        <x:v>同上</x:v>
      </x:c>
      <x:c r="F10" s="54" t="str"/>
    </x:row>
    <x:row r="12" ht="21" customHeight="1">
      <x:c r="A12" s="18" t="str">
        <x:v>回归保护</x:v>
      </x:c>
      <x:c r="B12" s="18" t="str">
        <x:v>回归保护</x:v>
      </x:c>
      <x:c r="C12" s="18" t="str">
        <x:v>回归保护</x:v>
      </x:c>
      <x:c r="D12" s="18" t="str">
        <x:v>回归保护</x:v>
      </x:c>
      <x:c r="E12" s="18" t="str">
        <x:v>回归保护</x:v>
      </x:c>
      <x:c r="F12" s="18" t="str">
        <x:v>回归保护</x:v>
      </x:c>
      <x:c r="G12" s="18" t="str">
        <x:v>回归保护</x:v>
      </x:c>
      <x:c r="H12" s="18" t="str">
        <x:v>回归保护</x:v>
      </x:c>
      <x:c r="I12" s="18" t="str">
        <x:v>回归保护</x:v>
      </x:c>
      <x:c r="J12" s="18" t="str">
        <x:v>回归保护</x:v>
      </x:c>
    </x:row>
    <x:row r="13" ht="28" customHeight="1">
      <x:c r="A13" s="26" t="str">
        <x:v>规则</x:v>
      </x:c>
      <x:c r="B13" s="26" t="str">
        <x:v>执行</x:v>
      </x:c>
      <x:c r="C13" s="26" t="str">
        <x:v>门槛</x:v>
      </x:c>
      <x:c r="D13" s="26" t="str">
        <x:v>本轮结果</x:v>
      </x:c>
    </x:row>
    <x:row r="14" ht="44" customHeight="1">
      <x:c r="A14" s="54" t="str">
        <x:v>原型作用域</x:v>
      </x:c>
      <x:c r="B14" s="54" t="str">
        <x:v>新规则只对wafer-fab-equipment/process-control生效</x:v>
      </x:c>
      <x:c r="C14" s="54" t="str">
        <x:v>非目标原型无变化</x:v>
      </x:c>
      <x:c r="D14" s="54" t="str">
        <x:v>通过</x:v>
      </x:c>
    </x:row>
    <x:row r="15" ht="44" customHeight="1">
      <x:c r="A15" s="54" t="str">
        <x:v>Sandisk锁定快照</x:v>
      </x:c>
      <x:c r="B15" s="54" t="str">
        <x:v>收入、EPS、周期价值、长期价值逐项比较</x:v>
      </x:c>
      <x:c r="C15" s="54" t="str">
        <x:v>差异=0</x:v>
      </x:c>
      <x:c r="D15" s="54" t="str">
        <x:v>通过</x:v>
      </x:c>
    </x:row>
    <x:row r="16" ht="44" customHeight="1">
      <x:c r="A16" s="54" t="str">
        <x:v>旧Skill总回归</x:v>
      </x:c>
      <x:c r="B16" s="54" t="str">
        <x:v>继续运行既有96点legacy benchmark</x:v>
      </x:c>
      <x:c r="C16" s="54" t="str">
        <x:v>原误差不退化</x:v>
      </x:c>
      <x:c r="D16" s="54" t="str">
        <x:v>由包内测试执行</x:v>
      </x:c>
    </x:row>
    <x:row r="17" ht="44" customHeight="1">
      <x:c r="A17" s="54" t="str">
        <x:v>区间锐度</x:v>
      </x:c>
      <x:c r="B17" s="54" t="str">
        <x:v>不能只扩大区间</x:v>
      </x:c>
      <x:c r="C17" s="54" t="str">
        <x:v>分数改善≥30%</x:v>
      </x:c>
      <x:c r="D17" s="54" t="str">
        <x:v>收入37.7%；利润50.9%</x:v>
      </x:c>
    </x:row>
    <x:row r="18" ht="44" customHeight="1">
      <x:c r="A18" s="54" t="str">
        <x:v>留出不回写</x:v>
      </x:c>
      <x:c r="B18" s="54" t="str">
        <x:v>v6.2点值在看留出实际前冻结的回顾性构造</x:v>
      </x:c>
      <x:c r="C18" s="54" t="str">
        <x:v>不因单例再调</x:v>
      </x:c>
      <x:c r="D18" s="54" t="str">
        <x:v>通过</x:v>
      </x:c>
    </x:row>
    <x:row r="19" ht="44" customHeight="1">
      <x:c r="A19" s="54" t="str">
        <x:v>未知领域</x:v>
      </x:c>
      <x:c r="B19" s="54" t="str">
        <x:v>无已验证原型时标记human-required</x:v>
      </x:c>
      <x:c r="C19" s="54" t="str">
        <x:v>不得强行套用</x:v>
      </x:c>
      <x:c r="D19" s="54" t="str">
        <x:v>写入Skill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16" hidden="0" customWidth="1"/>
    <x:col min="4" max="4" width="16" hidden="0" customWidth="1"/>
    <x:col min="5" max="5" width="31" hidden="0" customWidth="1"/>
    <x:col min="6" max="6" width="17" hidden="0" customWidth="1"/>
    <x:col min="7" max="7" width="35" hidden="0" customWidth="1"/>
    <x:col min="8" max="8" width="37" hidden="0" customWidth="1"/>
    <x:col min="9" max="9" width="42" hidden="0" customWidth="1"/>
    <x:col min="10" max="10" width="35" hidden="0" customWidth="1"/>
    <x:col min="11" max="11" width="25" hidden="0" customWidth="1"/>
    <x:col min="12" max="12" width="12" hidden="0" customWidth="1"/>
  </x:cols>
  <x:sheetData>
    <x:row r="1" ht="28" customHeight="1">
      <x:c r="A1" s="4" t="str">
        <x:v>Lam Research点时点证据与模型修正</x:v>
      </x:c>
      <x:c r="B1" s="4" t="str">
        <x:v>Lam Research点时点证据与模型修正</x:v>
      </x:c>
      <x:c r="C1" s="4" t="str">
        <x:v>Lam Research点时点证据与模型修正</x:v>
      </x:c>
      <x:c r="D1" s="4" t="str">
        <x:v>Lam Research点时点证据与模型修正</x:v>
      </x:c>
      <x:c r="E1" s="4" t="str">
        <x:v>Lam Research点时点证据与模型修正</x:v>
      </x:c>
      <x:c r="F1" s="4" t="str">
        <x:v>Lam Research点时点证据与模型修正</x:v>
      </x:c>
      <x:c r="G1" s="4" t="str">
        <x:v>Lam Research点时点证据与模型修正</x:v>
      </x:c>
      <x:c r="H1" s="4" t="str">
        <x:v>Lam Research点时点证据与模型修正</x:v>
      </x:c>
      <x:c r="I1" s="4" t="str">
        <x:v>Lam Research点时点证据与模型修正</x:v>
      </x:c>
      <x:c r="J1" s="4" t="str">
        <x:v>Lam Research点时点证据与模型修正</x:v>
      </x:c>
      <x:c r="K1" s="4" t="str">
        <x:v>Lam Research点时点证据与模型修正</x:v>
      </x:c>
      <x:c r="L1" s="4" t="str">
        <x:v>Lam Research点时点证据与模型修正</x:v>
      </x:c>
    </x:row>
    <x:row r="2" ht="35" customHeight="1">
      <x:c r="A2" s="11" t="str">
        <x:v>“Customer Support Business Group”是混合收入桶，不可整体当作稳定服务年金。</x:v>
      </x:c>
      <x:c r="B2" s="11" t="str">
        <x:v>“Customer Support Business Group”是混合收入桶，不可整体当作稳定服务年金。</x:v>
      </x:c>
      <x:c r="C2" s="11" t="str">
        <x:v>“Customer Support Business Group”是混合收入桶，不可整体当作稳定服务年金。</x:v>
      </x:c>
      <x:c r="D2" s="11" t="str">
        <x:v>“Customer Support Business Group”是混合收入桶，不可整体当作稳定服务年金。</x:v>
      </x:c>
      <x:c r="E2" s="11" t="str">
        <x:v>“Customer Support Business Group”是混合收入桶，不可整体当作稳定服务年金。</x:v>
      </x:c>
      <x:c r="F2" s="11" t="str">
        <x:v>“Customer Support Business Group”是混合收入桶，不可整体当作稳定服务年金。</x:v>
      </x:c>
      <x:c r="G2" s="11" t="str">
        <x:v>“Customer Support Business Group”是混合收入桶，不可整体当作稳定服务年金。</x:v>
      </x:c>
      <x:c r="H2" s="11" t="str">
        <x:v>“Customer Support Business Group”是混合收入桶，不可整体当作稳定服务年金。</x:v>
      </x:c>
      <x:c r="I2" s="11" t="str">
        <x:v>“Customer Support Business Group”是混合收入桶，不可整体当作稳定服务年金。</x:v>
      </x:c>
      <x:c r="J2" s="11" t="str">
        <x:v>“Customer Support Business Group”是混合收入桶，不可整体当作稳定服务年金。</x:v>
      </x:c>
      <x:c r="K2" s="11" t="str">
        <x:v>“Customer Support Business Group”是混合收入桶，不可整体当作稳定服务年金。</x:v>
      </x:c>
      <x:c r="L2" s="11" t="str">
        <x:v>“Customer Support Business Group”是混合收入桶，不可整体当作稳定服务年金。</x:v>
      </x:c>
    </x:row>
    <x:row r="4" ht="28" customHeight="1">
      <x:c r="A4" s="26" t="str">
        <x:v>截面</x:v>
      </x:c>
      <x:c r="B4" s="26" t="str">
        <x:v>当时可见财务</x:v>
      </x:c>
      <x:c r="C4" s="26" t="str">
        <x:v>系统收入</x:v>
      </x:c>
      <x:c r="D4" s="26" t="str">
        <x:v>CSBG收入</x:v>
      </x:c>
      <x:c r="E4" s="26" t="str">
        <x:v>客户市场mix</x:v>
      </x:c>
      <x:c r="F4" s="26" t="str">
        <x:v>递延收入</x:v>
      </x:c>
      <x:c r="G4" s="26" t="str">
        <x:v>可见信号</x:v>
      </x:c>
      <x:c r="H4" s="26" t="str">
        <x:v>v6.1错误</x:v>
      </x:c>
      <x:c r="I4" s="26" t="str">
        <x:v>v6.2处理</x:v>
      </x:c>
      <x:c r="J4" s="26" t="str">
        <x:v>预测含义</x:v>
      </x:c>
      <x:c r="K4" s="26" t="str">
        <x:v>来源ID</x:v>
      </x:c>
      <x:c r="L4" s="26" t="str">
        <x:v>证据等级</x:v>
      </x:c>
    </x:row>
    <x:row r="5" ht="86" customHeight="1">
      <x:c r="A5" s="54" t="str">
        <x:v>FY2020</x:v>
      </x:c>
      <x:c r="B5" s="54" t="str">
        <x:v>收入100.45亿；营业利润26.74亿</x:v>
      </x:c>
      <x:c r="C5" s="54" t="str">
        <x:v>66.25亿</x:v>
      </x:c>
      <x:c r="D5" s="54" t="str">
        <x:v>34.20亿</x:v>
      </x:c>
      <x:c r="E5" s="54" t="str">
        <x:v>memory 58%、foundry 31%、logic/IDM 11%</x:v>
      </x:c>
      <x:c r="F5" s="54" t="str">
        <x:v>5.37亿</x:v>
      </x:c>
      <x:c r="G5" s="54" t="str">
        <x:v>WFE恢复、装机基数增长</x:v>
      </x:c>
      <x:c r="H5" s="54" t="str">
        <x:v>系统与服务只作两条平滑增长线</x:v>
      </x:c>
      <x:c r="I5" s="54" t="str">
        <x:v>系统按客户支出群；CSBG拆服务/备件/升级/Reliant</x:v>
      </x:c>
      <x:c r="J5" s="54" t="str">
        <x:v>FY21–22上行，但三年保留周期尾部</x:v>
      </x:c>
      <x:c r="K5" s="54" t="str">
        <x:v>LRCX_FY2021_10K</x:v>
      </x:c>
      <x:c r="L5" s="54" t="str">
        <x:v>E0/E1</x:v>
      </x:c>
    </x:row>
    <x:row r="6" ht="86" customHeight="1">
      <x:c r="A6" s="54" t="str">
        <x:v>FY2021</x:v>
      </x:c>
      <x:c r="B6" s="54" t="str">
        <x:v>收入146.26亿；营业利润44.82亿</x:v>
      </x:c>
      <x:c r="C6" s="54" t="str">
        <x:v>97.65亿</x:v>
      </x:c>
      <x:c r="D6" s="54" t="str">
        <x:v>48.61亿</x:v>
      </x:c>
      <x:c r="E6" s="54" t="str">
        <x:v>memory 61%、foundry 32%、logic/IDM 7%</x:v>
      </x:c>
      <x:c r="F6" s="54" t="str">
        <x:v>11.19亿</x:v>
      </x:c>
      <x:c r="G6" s="54" t="str">
        <x:v>需求强、供应受限、客户预付款增加</x:v>
      </x:c>
      <x:c r="H6" s="54" t="str">
        <x:v>把CSBG和递延收入当稳定保护</x:v>
      </x:c>
      <x:c r="I6" s="54" t="str">
        <x:v>递延拆预付款/待验收/服务；memory至少拆DRAM/NAND</x:v>
      </x:c>
      <x:c r="J6" s="54" t="str">
        <x:v>FY23不能线性外推</x:v>
      </x:c>
      <x:c r="K6" s="54" t="str">
        <x:v>LRCX_FY2021_10K</x:v>
      </x:c>
      <x:c r="L6" s="54" t="str">
        <x:v>E0/E1</x:v>
      </x:c>
    </x:row>
    <x:row r="7" ht="86" customHeight="1">
      <x:c r="A7" s="54" t="str">
        <x:v>FY2022</x:v>
      </x:c>
      <x:c r="B7" s="54" t="str">
        <x:v>收入172.27亿；营业利润53.82亿</x:v>
      </x:c>
      <x:c r="C7" s="54" t="str">
        <x:v>113.22亿</x:v>
      </x:c>
      <x:c r="D7" s="54" t="str">
        <x:v>59.05亿</x:v>
      </x:c>
      <x:c r="E7" s="54" t="str">
        <x:v>memory 60%、foundry 26%、logic/IDM 14%</x:v>
      </x:c>
      <x:c r="F7" s="54" t="str">
        <x:v>21.98亿</x:v>
      </x:c>
      <x:c r="G7" s="54" t="str">
        <x:v>供应链、通胀、出口和客户mix风险</x:v>
      </x:c>
      <x:c r="H7" s="54" t="str">
        <x:v>总WFE增长直接映射公司收入</x:v>
      </x:c>
      <x:c r="I7" s="54" t="str">
        <x:v>客户群×产品份额×交付/验收；出口地域overlay</x:v>
      </x:c>
      <x:c r="J7" s="54" t="str">
        <x:v>FY24下行概率显著提高</x:v>
      </x:c>
      <x:c r="K7" s="54" t="str">
        <x:v>LRCX_FY2022_10K</x:v>
      </x:c>
      <x:c r="L7" s="54" t="str">
        <x:v>E0/E1</x:v>
      </x:c>
    </x:row>
    <x:row r="8" ht="86" customHeight="1">
      <x:c r="A8" s="54" t="str">
        <x:v>后续验证FY2023</x:v>
      </x:c>
      <x:c r="B8" s="54" t="str">
        <x:v>收入174.29亿；系统106.96亿；CSBG67.33亿</x:v>
      </x:c>
      <x:c r="C8" s="54" t="str">
        <x:v>系统下行</x:v>
      </x:c>
      <x:c r="D8" s="54" t="str">
        <x:v>CSBG增长</x:v>
      </x:c>
      <x:c r="E8" s="54" t="str">
        <x:v>memory mix降至42%</x:v>
      </x:c>
      <x:c r="F8" s="54" t="str">
        <x:v>—</x:v>
      </x:c>
      <x:c r="G8" s="54" t="str">
        <x:v>H2 WFE尤其memory下调</x:v>
      </x:c>
      <x:c r="H8" s="54" t="str">
        <x:v>—</x:v>
      </x:c>
      <x:c r="I8" s="54" t="str">
        <x:v>证明CSBG有底盘但不是固定年金</x:v>
      </x:c>
      <x:c r="J8" s="54" t="str">
        <x:v>v6.2方向正确</x:v>
      </x:c>
      <x:c r="K8" s="54" t="str">
        <x:v>LRCX_FY2023_10K</x:v>
      </x:c>
      <x:c r="L8" s="54" t="str">
        <x:v>Actual</x:v>
      </x:c>
    </x:row>
    <x:row r="9" ht="86" customHeight="1">
      <x:c r="A9" s="54" t="str">
        <x:v>后续验证FY2024</x:v>
      </x:c>
      <x:c r="B9" s="54" t="str">
        <x:v>收入149.05亿；营业利润42.64亿</x:v>
      </x:c>
      <x:c r="C9" s="54" t="str">
        <x:v>89.22亿</x:v>
      </x:c>
      <x:c r="D9" s="54" t="str">
        <x:v>59.84亿</x:v>
      </x:c>
      <x:c r="E9" s="54" t="str">
        <x:v>NVM弱、DRAM/中国部分抵消</x:v>
      </x:c>
      <x:c r="F9" s="54" t="str">
        <x:v>—</x:v>
      </x:c>
      <x:c r="G9" s="54" t="str">
        <x:v>CSBG也下降</x:v>
      </x:c>
      <x:c r="H9" s="54" t="str">
        <x:v>—</x:v>
      </x:c>
      <x:c r="I9" s="54" t="str">
        <x:v>证明CSBG混合桶受升级/Reliant/利用率周期影响</x:v>
      </x:c>
      <x:c r="J9" s="54" t="str">
        <x:v>避免高估服务底部</x:v>
      </x:c>
      <x:c r="K9" s="54" t="str">
        <x:v>LRCX_FY2024_10K</x:v>
      </x:c>
      <x:c r="L9" s="54" t="str">
        <x:v>Actual</x:v>
      </x:c>
    </x:row>
    <x:row r="11" ht="21" customHeight="1">
      <x:c r="A11" s="18" t="str">
        <x:v>v6.2 Lam收入方程</x:v>
      </x:c>
      <x:c r="B11" s="18" t="str">
        <x:v>v6.2 Lam收入方程</x:v>
      </x:c>
      <x:c r="C11" s="18" t="str">
        <x:v>v6.2 Lam收入方程</x:v>
      </x:c>
      <x:c r="D11" s="18" t="str">
        <x:v>v6.2 Lam收入方程</x:v>
      </x:c>
      <x:c r="E11" s="18" t="str">
        <x:v>v6.2 Lam收入方程</x:v>
      </x:c>
      <x:c r="F11" s="18" t="str">
        <x:v>v6.2 Lam收入方程</x:v>
      </x:c>
      <x:c r="G11" s="18" t="str">
        <x:v>v6.2 Lam收入方程</x:v>
      </x:c>
      <x:c r="H11" s="18" t="str">
        <x:v>v6.2 Lam收入方程</x:v>
      </x:c>
      <x:c r="I11" s="18" t="str">
        <x:v>v6.2 Lam收入方程</x:v>
      </x:c>
      <x:c r="J11" s="18" t="str">
        <x:v>v6.2 Lam收入方程</x:v>
      </x:c>
      <x:c r="K11" s="18" t="str">
        <x:v>v6.2 Lam收入方程</x:v>
      </x:c>
      <x:c r="L11" s="18" t="str">
        <x:v>v6.2 Lam收入方程</x:v>
      </x:c>
    </x:row>
    <x:row r="12">
      <x:c r="A12" s="72" t="str">
        <x:v>Systems revenue = Σ(customer cohort WFE × process-intensity × Lam share × shipment/installation/acceptance)
CSBG revenue = contract service + spares/consumables + installed-base upgrades + Reliant/mature-node equipment
Deferred revenue = customer deposits + shipped/not-accepted systems + deferred service；三类分别设置转化率。
Gross margin bridge = product/customer mix + material/freight + factory utilization + field utilization + restructuring/export/geography effects。</x:v>
      </x:c>
      <x:c r="B12" s="72"/>
      <x:c r="C12" s="72"/>
      <x:c r="D12" s="72"/>
      <x:c r="E12" s="72"/>
      <x:c r="F12" s="72"/>
      <x:c r="G12" s="72"/>
      <x:c r="H12" s="72"/>
      <x:c r="I12" s="72"/>
      <x:c r="J12" s="72"/>
      <x:c r="K12" s="72"/>
      <x:c r="L12" s="72"/>
    </x:row>
    <x:row r="13">
      <x:c r="A13" s="72"/>
      <x:c r="B13" s="72"/>
      <x:c r="C13" s="72"/>
      <x:c r="D13" s="72"/>
      <x:c r="E13" s="72"/>
      <x:c r="F13" s="72"/>
      <x:c r="G13" s="72"/>
      <x:c r="H13" s="72"/>
      <x:c r="I13" s="72"/>
      <x:c r="J13" s="72"/>
      <x:c r="K13" s="72"/>
      <x:c r="L13" s="72"/>
    </x:row>
    <x:row r="14">
      <x:c r="A14" s="72"/>
      <x:c r="B14" s="72"/>
      <x:c r="C14" s="72"/>
      <x:c r="D14" s="72"/>
      <x:c r="E14" s="72"/>
      <x:c r="F14" s="72"/>
      <x:c r="G14" s="72"/>
      <x:c r="H14" s="72"/>
      <x:c r="I14" s="72"/>
      <x:c r="J14" s="72"/>
      <x:c r="K14" s="72"/>
      <x:c r="L14" s="72"/>
    </x:row>
    <x:row r="15">
      <x:c r="A15" s="72"/>
      <x:c r="B15" s="72"/>
      <x:c r="C15" s="72"/>
      <x:c r="D15" s="72"/>
      <x:c r="E15" s="72"/>
      <x:c r="F15" s="72"/>
      <x:c r="G15" s="72"/>
      <x:c r="H15" s="72"/>
      <x:c r="I15" s="72"/>
      <x:c r="J15" s="72"/>
      <x:c r="K15" s="72"/>
      <x:c r="L15" s="72"/>
    </x:row>
    <x:row r="16">
      <x:c r="A16" s="72"/>
      <x:c r="B16" s="72"/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</x:row>
    <x:row r="17">
      <x:c r="A17" s="72"/>
      <x:c r="B17" s="72"/>
      <x:c r="C17" s="72"/>
      <x:c r="D17" s="72"/>
      <x:c r="E17" s="72"/>
      <x:c r="F17" s="72"/>
      <x:c r="G17" s="72"/>
      <x:c r="H17" s="72"/>
      <x:c r="I17" s="72"/>
      <x:c r="J17" s="72"/>
      <x:c r="K17" s="72"/>
      <x:c r="L17" s="72"/>
    </x:row>
  </x:sheetData>
  <x:mergeCells>
    <x:mergeCell ref="A1:L1"/>
    <x:mergeCell ref="A2:L2"/>
    <x:mergeCell ref="A11:L11"/>
    <x:mergeCell ref="A12:L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7" hidden="0" customWidth="1"/>
    <x:col min="3" max="3" width="16" hidden="0" customWidth="1"/>
    <x:col min="4" max="4" width="16" hidden="0" customWidth="1"/>
    <x:col min="5" max="5" width="38" hidden="0" customWidth="1"/>
    <x:col min="6" max="6" width="28" hidden="0" customWidth="1"/>
    <x:col min="7" max="7" width="34" hidden="0" customWidth="1"/>
    <x:col min="8" max="8" width="36" hidden="0" customWidth="1"/>
    <x:col min="9" max="9" width="43" hidden="0" customWidth="1"/>
    <x:col min="10" max="10" width="34" hidden="0" customWidth="1"/>
    <x:col min="11" max="11" width="25" hidden="0" customWidth="1"/>
    <x:col min="12" max="12" width="12" hidden="0" customWidth="1"/>
  </x:cols>
  <x:sheetData>
    <x:row r="1" ht="28" customHeight="1">
      <x:c r="A1" s="4" t="str">
        <x:v>KLA点时点证据与模型修正</x:v>
      </x:c>
      <x:c r="B1" s="4" t="str">
        <x:v>KLA点时点证据与模型修正</x:v>
      </x:c>
      <x:c r="C1" s="4" t="str">
        <x:v>KLA点时点证据与模型修正</x:v>
      </x:c>
      <x:c r="D1" s="4" t="str">
        <x:v>KLA点时点证据与模型修正</x:v>
      </x:c>
      <x:c r="E1" s="4" t="str">
        <x:v>KLA点时点证据与模型修正</x:v>
      </x:c>
      <x:c r="F1" s="4" t="str">
        <x:v>KLA点时点证据与模型修正</x:v>
      </x:c>
      <x:c r="G1" s="4" t="str">
        <x:v>KLA点时点证据与模型修正</x:v>
      </x:c>
      <x:c r="H1" s="4" t="str">
        <x:v>KLA点时点证据与模型修正</x:v>
      </x:c>
      <x:c r="I1" s="4" t="str">
        <x:v>KLA点时点证据与模型修正</x:v>
      </x:c>
      <x:c r="J1" s="4" t="str">
        <x:v>KLA点时点证据与模型修正</x:v>
      </x:c>
      <x:c r="K1" s="4" t="str">
        <x:v>KLA点时点证据与模型修正</x:v>
      </x:c>
      <x:c r="L1" s="4" t="str">
        <x:v>KLA点时点证据与模型修正</x:v>
      </x:c>
    </x:row>
    <x:row r="2" ht="35" customHeight="1">
      <x:c r="A2" s="11" t="str">
        <x:v>KLA的核心不是简单WFE beta，而是技术开发强度、过程复杂度、检测步骤和装机服务的组合。</x:v>
      </x:c>
      <x:c r="B2" s="11" t="str">
        <x:v>KLA的核心不是简单WFE beta，而是技术开发强度、过程复杂度、检测步骤和装机服务的组合。</x:v>
      </x:c>
      <x:c r="C2" s="11" t="str">
        <x:v>KLA的核心不是简单WFE beta，而是技术开发强度、过程复杂度、检测步骤和装机服务的组合。</x:v>
      </x:c>
      <x:c r="D2" s="11" t="str">
        <x:v>KLA的核心不是简单WFE beta，而是技术开发强度、过程复杂度、检测步骤和装机服务的组合。</x:v>
      </x:c>
      <x:c r="E2" s="11" t="str">
        <x:v>KLA的核心不是简单WFE beta，而是技术开发强度、过程复杂度、检测步骤和装机服务的组合。</x:v>
      </x:c>
      <x:c r="F2" s="11" t="str">
        <x:v>KLA的核心不是简单WFE beta，而是技术开发强度、过程复杂度、检测步骤和装机服务的组合。</x:v>
      </x:c>
      <x:c r="G2" s="11" t="str">
        <x:v>KLA的核心不是简单WFE beta，而是技术开发强度、过程复杂度、检测步骤和装机服务的组合。</x:v>
      </x:c>
      <x:c r="H2" s="11" t="str">
        <x:v>KLA的核心不是简单WFE beta，而是技术开发强度、过程复杂度、检测步骤和装机服务的组合。</x:v>
      </x:c>
      <x:c r="I2" s="11" t="str">
        <x:v>KLA的核心不是简单WFE beta，而是技术开发强度、过程复杂度、检测步骤和装机服务的组合。</x:v>
      </x:c>
      <x:c r="J2" s="11" t="str">
        <x:v>KLA的核心不是简单WFE beta，而是技术开发强度、过程复杂度、检测步骤和装机服务的组合。</x:v>
      </x:c>
      <x:c r="K2" s="11" t="str">
        <x:v>KLA的核心不是简单WFE beta，而是技术开发强度、过程复杂度、检测步骤和装机服务的组合。</x:v>
      </x:c>
      <x:c r="L2" s="11" t="str">
        <x:v>KLA的核心不是简单WFE beta，而是技术开发强度、过程复杂度、检测步骤和装机服务的组合。</x:v>
      </x:c>
    </x:row>
    <x:row r="4" ht="28" customHeight="1">
      <x:c r="A4" s="26" t="str">
        <x:v>截面</x:v>
      </x:c>
      <x:c r="B4" s="26" t="str">
        <x:v>收入/利润</x:v>
      </x:c>
      <x:c r="C4" s="26" t="str">
        <x:v>产品收入</x:v>
      </x:c>
      <x:c r="D4" s="26" t="str">
        <x:v>服务收入</x:v>
      </x:c>
      <x:c r="E4" s="26" t="str">
        <x:v>产品类别/分部</x:v>
      </x:c>
      <x:c r="F4" s="26" t="str">
        <x:v>RPO/合同负债</x:v>
      </x:c>
      <x:c r="G4" s="26" t="str">
        <x:v>可见信号</x:v>
      </x:c>
      <x:c r="H4" s="26" t="str">
        <x:v>v6.1错误</x:v>
      </x:c>
      <x:c r="I4" s="26" t="str">
        <x:v>v6.2处理</x:v>
      </x:c>
      <x:c r="J4" s="26" t="str">
        <x:v>预测含义</x:v>
      </x:c>
      <x:c r="K4" s="26" t="str">
        <x:v>来源ID</x:v>
      </x:c>
      <x:c r="L4" s="26" t="str">
        <x:v>证据等级</x:v>
      </x:c>
    </x:row>
    <x:row r="5" ht="86" customHeight="1">
      <x:c r="A5" s="54" t="str">
        <x:v>FY2020</x:v>
      </x:c>
      <x:c r="B5" s="54" t="str">
        <x:v>收入58.06亿；净利润12.17亿</x:v>
      </x:c>
      <x:c r="C5" s="54" t="str">
        <x:v>43.29亿</x:v>
      </x:c>
      <x:c r="D5" s="54" t="str">
        <x:v>14.78亿</x:v>
      </x:c>
      <x:c r="E5" s="54" t="str">
        <x:v>过程控制＋specialty＋PCB/display；Orbotech全年并表</x:v>
      </x:c>
      <x:c r="F5" s="54" t="str">
        <x:v>付款/验收和合同负债存在</x:v>
      </x:c>
      <x:c r="G5" s="54" t="str">
        <x:v>foundry/logic较强、memory偏弱</x:v>
      </x:c>
      <x:c r="H5" s="54" t="str">
        <x:v>用总WFE×固定share</x:v>
      </x:c>
      <x:c r="I5" s="54" t="str">
        <x:v>technology-development spend与capacity spend分离；显式企业边界桥</x:v>
      </x:c>
      <x:c r="J5" s="54" t="str">
        <x:v>FY21增长高于总WFE线性假设</x:v>
      </x:c>
      <x:c r="K5" s="54" t="str">
        <x:v>KLA_FY2020_10K</x:v>
      </x:c>
      <x:c r="L5" s="54" t="str">
        <x:v>E0/E1</x:v>
      </x:c>
    </x:row>
    <x:row r="6" ht="86" customHeight="1">
      <x:c r="A6" s="54" t="str">
        <x:v>FY2021</x:v>
      </x:c>
      <x:c r="B6" s="54" t="str">
        <x:v>收入69.19亿；净利润20.78亿</x:v>
      </x:c>
      <x:c r="C6" s="54" t="str">
        <x:v>52.40亿</x:v>
      </x:c>
      <x:c r="D6" s="54" t="str">
        <x:v>16.78亿</x:v>
      </x:c>
      <x:c r="E6" s="54" t="str">
        <x:v>客户集中17%/15%；过程控制为主</x:v>
      </x:c>
      <x:c r="F6" s="54" t="str">
        <x:v>合同负债和已出货待控制转移</x:v>
      </x:c>
      <x:c r="G6" s="54" t="str">
        <x:v>节点复杂度和检测强度上升</x:v>
      </x:c>
      <x:c r="H6" s="54" t="str">
        <x:v>过程控制作为单一总类</x:v>
      </x:c>
      <x:c r="I6" s="54" t="str">
        <x:v>拆wafer inspection、patterning、specialty、PCB/display和service</x:v>
      </x:c>
      <x:c r="J6" s="54" t="str">
        <x:v>FY22内容强度继续提升</x:v>
      </x:c>
      <x:c r="K6" s="54" t="str">
        <x:v>KLA_FY2021_10K</x:v>
      </x:c>
      <x:c r="L6" s="54" t="str">
        <x:v>E0/E1</x:v>
      </x:c>
    </x:row>
    <x:row r="7" ht="86" customHeight="1">
      <x:c r="A7" s="54" t="str">
        <x:v>FY2022</x:v>
      </x:c>
      <x:c r="B7" s="54" t="str">
        <x:v>收入92.12亿；净利润33.22亿</x:v>
      </x:c>
      <x:c r="C7" s="54" t="str">
        <x:v>73.01亿</x:v>
      </x:c>
      <x:c r="D7" s="54" t="str">
        <x:v>19.10亿</x:v>
      </x:c>
      <x:c r="E7" s="54" t="str">
        <x:v>wafer inspection40.15亿、patterning20.50亿、service19.10亿</x:v>
      </x:c>
      <x:c r="F7" s="54" t="str">
        <x:v>RPO13.11亿；40%–50%超过12个月</x:v>
      </x:c>
      <x:c r="G7" s="54" t="str">
        <x:v>服务随装机基数增长；供应约束影响时点</x:v>
      </x:c>
      <x:c r="H7" s="54" t="str">
        <x:v>把RPO当近端收入保护</x:v>
      </x:c>
      <x:c r="I7" s="54" t="str">
        <x:v>RPO拆短/长时点；产品按类别和技术/容量支出建模</x:v>
      </x:c>
      <x:c r="J7" s="54" t="str">
        <x:v>FY23仍增长，FY24调整应进入情景</x:v>
      </x:c>
      <x:c r="K7" s="54" t="str">
        <x:v>KLA_FY2022_10K</x:v>
      </x:c>
      <x:c r="L7" s="54" t="str">
        <x:v>E0/E1</x:v>
      </x:c>
    </x:row>
    <x:row r="8" ht="86" customHeight="1">
      <x:c r="A8" s="54" t="str">
        <x:v>后续验证FY2024</x:v>
      </x:c>
      <x:c r="B8" s="54" t="str">
        <x:v>收入98.12亿；净利润27.62亿</x:v>
      </x:c>
      <x:c r="C8" s="54" t="str">
        <x:v>74.83亿</x:v>
      </x:c>
      <x:c r="D8" s="54" t="str">
        <x:v>23.30亿</x:v>
      </x:c>
      <x:c r="E8" s="54" t="str">
        <x:v>产品调整、服务仍增长</x:v>
      </x:c>
      <x:c r="F8" s="54" t="str">
        <x:v>—</x:v>
      </x:c>
      <x:c r="G8" s="54" t="str">
        <x:v>确认收入回落且有2.89亿减值</x:v>
      </x:c>
      <x:c r="H8" s="54" t="str">
        <x:v>—</x:v>
      </x:c>
      <x:c r="I8" s="54" t="str">
        <x:v>利润桥需纳入减值和mix</x:v>
      </x:c>
      <x:c r="J8" s="54" t="str">
        <x:v>v6.2改善利润率误差</x:v>
      </x:c>
      <x:c r="K8" s="54" t="str">
        <x:v>KLA_FY2024_10K</x:v>
      </x:c>
      <x:c r="L8" s="54" t="str">
        <x:v>Actual</x:v>
      </x:c>
    </x:row>
    <x:row r="9" ht="86" customHeight="1">
      <x:c r="A9" s="54" t="str">
        <x:v>后续验证FY2025</x:v>
      </x:c>
      <x:c r="B9" s="54" t="str">
        <x:v>收入121.56亿；净利润40.62亿</x:v>
      </x:c>
      <x:c r="C9" s="54" t="str">
        <x:v>94.73亿</x:v>
      </x:c>
      <x:c r="D9" s="54" t="str">
        <x:v>26.83亿</x:v>
      </x:c>
      <x:c r="E9" s="54" t="str">
        <x:v>AI/leading-edge foundry与advanced packaging；service +15%</x:v>
      </x:c>
      <x:c r="F9" s="54" t="str">
        <x:v>—</x:v>
      </x:c>
      <x:c r="G9" s="54" t="str">
        <x:v>内容强度重新加速</x:v>
      </x:c>
      <x:c r="H9" s="54" t="str">
        <x:v>—</x:v>
      </x:c>
      <x:c r="I9" s="54" t="str">
        <x:v>验证技术开发强度可领先于capacity WFE</x:v>
      </x:c>
      <x:c r="J9" s="54" t="str">
        <x:v>为后续AI周期提供新状态变量</x:v>
      </x:c>
      <x:c r="K9" s="54" t="str">
        <x:v>KLA_FY2025_10K</x:v>
      </x:c>
      <x:c r="L9" s="54" t="str">
        <x:v>Actual</x:v>
      </x:c>
    </x:row>
    <x:row r="11" ht="21" customHeight="1">
      <x:c r="A11" s="18" t="str">
        <x:v>v6.2 KLA收入方程</x:v>
      </x:c>
      <x:c r="B11" s="18" t="str">
        <x:v>v6.2 KLA收入方程</x:v>
      </x:c>
      <x:c r="C11" s="18" t="str">
        <x:v>v6.2 KLA收入方程</x:v>
      </x:c>
      <x:c r="D11" s="18" t="str">
        <x:v>v6.2 KLA收入方程</x:v>
      </x:c>
      <x:c r="E11" s="18" t="str">
        <x:v>v6.2 KLA收入方程</x:v>
      </x:c>
      <x:c r="F11" s="18" t="str">
        <x:v>v6.2 KLA收入方程</x:v>
      </x:c>
      <x:c r="G11" s="18" t="str">
        <x:v>v6.2 KLA收入方程</x:v>
      </x:c>
      <x:c r="H11" s="18" t="str">
        <x:v>v6.2 KLA收入方程</x:v>
      </x:c>
      <x:c r="I11" s="18" t="str">
        <x:v>v6.2 KLA收入方程</x:v>
      </x:c>
      <x:c r="J11" s="18" t="str">
        <x:v>v6.2 KLA收入方程</x:v>
      </x:c>
      <x:c r="K11" s="18" t="str">
        <x:v>v6.2 KLA收入方程</x:v>
      </x:c>
      <x:c r="L11" s="18" t="str">
        <x:v>v6.2 KLA收入方程</x:v>
      </x:c>
    </x:row>
    <x:row r="12">
      <x:c r="A12" s="72" t="str">
        <x:v>Product revenue = Σ(technology-development spend + capacity spend) × inspection/metrology step intensity × capture rate × KLA share
Category split = wafer inspection + patterning + specialty semiconductor + PCB/display + other
Service revenue = installed base × utilization × attach/renewal × service ASP
Recognition bridge = order/RPO → shipment → acceptance/control transfer；RPO中超过12个月部分不得直接计入一年收入。
Profit bridge = category mix + service mix + Orbotech/perimeter + impairment/amortization + tax。</x:v>
      </x:c>
      <x:c r="B12" s="72"/>
      <x:c r="C12" s="72"/>
      <x:c r="D12" s="72"/>
      <x:c r="E12" s="72"/>
      <x:c r="F12" s="72"/>
      <x:c r="G12" s="72"/>
      <x:c r="H12" s="72"/>
      <x:c r="I12" s="72"/>
      <x:c r="J12" s="72"/>
      <x:c r="K12" s="72"/>
      <x:c r="L12" s="72"/>
    </x:row>
    <x:row r="13">
      <x:c r="A13" s="72"/>
      <x:c r="B13" s="72"/>
      <x:c r="C13" s="72"/>
      <x:c r="D13" s="72"/>
      <x:c r="E13" s="72"/>
      <x:c r="F13" s="72"/>
      <x:c r="G13" s="72"/>
      <x:c r="H13" s="72"/>
      <x:c r="I13" s="72"/>
      <x:c r="J13" s="72"/>
      <x:c r="K13" s="72"/>
      <x:c r="L13" s="72"/>
    </x:row>
    <x:row r="14">
      <x:c r="A14" s="72"/>
      <x:c r="B14" s="72"/>
      <x:c r="C14" s="72"/>
      <x:c r="D14" s="72"/>
      <x:c r="E14" s="72"/>
      <x:c r="F14" s="72"/>
      <x:c r="G14" s="72"/>
      <x:c r="H14" s="72"/>
      <x:c r="I14" s="72"/>
      <x:c r="J14" s="72"/>
      <x:c r="K14" s="72"/>
      <x:c r="L14" s="72"/>
    </x:row>
    <x:row r="15">
      <x:c r="A15" s="72"/>
      <x:c r="B15" s="72"/>
      <x:c r="C15" s="72"/>
      <x:c r="D15" s="72"/>
      <x:c r="E15" s="72"/>
      <x:c r="F15" s="72"/>
      <x:c r="G15" s="72"/>
      <x:c r="H15" s="72"/>
      <x:c r="I15" s="72"/>
      <x:c r="J15" s="72"/>
      <x:c r="K15" s="72"/>
      <x:c r="L15" s="72"/>
    </x:row>
    <x:row r="16">
      <x:c r="A16" s="72"/>
      <x:c r="B16" s="72"/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</x:row>
    <x:row r="17">
      <x:c r="A17" s="72"/>
      <x:c r="B17" s="72"/>
      <x:c r="C17" s="72"/>
      <x:c r="D17" s="72"/>
      <x:c r="E17" s="72"/>
      <x:c r="F17" s="72"/>
      <x:c r="G17" s="72"/>
      <x:c r="H17" s="72"/>
      <x:c r="I17" s="72"/>
      <x:c r="J17" s="72"/>
      <x:c r="K17" s="72"/>
      <x:c r="L17" s="72"/>
    </x:row>
  </x:sheetData>
  <x:mergeCells>
    <x:mergeCell ref="A1:L1"/>
    <x:mergeCell ref="A2:L2"/>
    <x:mergeCell ref="A11:L11"/>
    <x:mergeCell ref="A12:L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24" hidden="0" customWidth="1"/>
    <x:col min="5" max="5" width="12" hidden="0" customWidth="1"/>
    <x:col min="6" max="6" width="12" hidden="0" customWidth="1"/>
    <x:col min="7" max="7" width="8" hidden="0" customWidth="1"/>
    <x:col min="8" max="8" width="14" hidden="0" customWidth="1"/>
    <x:col min="9" max="9" width="11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5" hidden="0" customWidth="1"/>
    <x:col min="23" max="23" width="15" hidden="0" customWidth="1"/>
    <x:col min="24" max="24" width="12" hidden="0" customWidth="1"/>
    <x:col min="25" max="25" width="12" hidden="0" customWidth="1"/>
    <x:col min="26" max="26" width="15" hidden="0" customWidth="1"/>
    <x:col min="27" max="27" width="15" hidden="0" customWidth="1"/>
    <x:col min="28" max="28" width="17" hidden="0" customWidth="1"/>
    <x:col min="29" max="29" width="17" hidden="0" customWidth="1"/>
    <x:col min="30" max="30" width="42" hidden="0" customWidth="1"/>
    <x:col min="31" max="31" width="24" hidden="0" customWidth="1"/>
  </x:cols>
  <x:sheetData>
    <x:row r="1" ht="28" customHeight="1">
      <x:c r="A1" s="4" t="str">
        <x:v>预测明细：v6.1 vs v6.2</x:v>
      </x:c>
      <x:c r="B1" s="4" t="str">
        <x:v>预测明细：v6.1 vs v6.2</x:v>
      </x:c>
      <x:c r="C1" s="4" t="str">
        <x:v>预测明细：v6.1 vs v6.2</x:v>
      </x:c>
      <x:c r="D1" s="4" t="str">
        <x:v>预测明细：v6.1 vs v6.2</x:v>
      </x:c>
      <x:c r="E1" s="4" t="str">
        <x:v>预测明细：v6.1 vs v6.2</x:v>
      </x:c>
      <x:c r="F1" s="4" t="str">
        <x:v>预测明细：v6.1 vs v6.2</x:v>
      </x:c>
      <x:c r="G1" s="4" t="str">
        <x:v>预测明细：v6.1 vs v6.2</x:v>
      </x:c>
      <x:c r="H1" s="4" t="str">
        <x:v>预测明细：v6.1 vs v6.2</x:v>
      </x:c>
      <x:c r="I1" s="4" t="str">
        <x:v>预测明细：v6.1 vs v6.2</x:v>
      </x:c>
      <x:c r="J1" s="4" t="str">
        <x:v>预测明细：v6.1 vs v6.2</x:v>
      </x:c>
      <x:c r="K1" s="4" t="str">
        <x:v>预测明细：v6.1 vs v6.2</x:v>
      </x:c>
      <x:c r="L1" s="4" t="str">
        <x:v>预测明细：v6.1 vs v6.2</x:v>
      </x:c>
      <x:c r="M1" s="4" t="str">
        <x:v>预测明细：v6.1 vs v6.2</x:v>
      </x:c>
      <x:c r="N1" s="4" t="str">
        <x:v>预测明细：v6.1 vs v6.2</x:v>
      </x:c>
      <x:c r="O1" s="4" t="str">
        <x:v>预测明细：v6.1 vs v6.2</x:v>
      </x:c>
      <x:c r="P1" s="4" t="str">
        <x:v>预测明细：v6.1 vs v6.2</x:v>
      </x:c>
      <x:c r="Q1" s="4" t="str">
        <x:v>预测明细：v6.1 vs v6.2</x:v>
      </x:c>
      <x:c r="R1" s="4" t="str">
        <x:v>预测明细：v6.1 vs v6.2</x:v>
      </x:c>
      <x:c r="S1" s="4" t="str">
        <x:v>预测明细：v6.1 vs v6.2</x:v>
      </x:c>
      <x:c r="T1" s="4" t="str">
        <x:v>预测明细：v6.1 vs v6.2</x:v>
      </x:c>
      <x:c r="U1" s="4" t="str">
        <x:v>预测明细：v6.1 vs v6.2</x:v>
      </x:c>
      <x:c r="V1" s="4" t="str">
        <x:v>预测明细：v6.1 vs v6.2</x:v>
      </x:c>
      <x:c r="W1" s="4" t="str">
        <x:v>预测明细：v6.1 vs v6.2</x:v>
      </x:c>
      <x:c r="X1" s="4" t="str">
        <x:v>预测明细：v6.1 vs v6.2</x:v>
      </x:c>
      <x:c r="Y1" s="4" t="str">
        <x:v>预测明细：v6.1 vs v6.2</x:v>
      </x:c>
      <x:c r="Z1" s="4" t="str">
        <x:v>预测明细：v6.1 vs v6.2</x:v>
      </x:c>
      <x:c r="AA1" s="4" t="str">
        <x:v>预测明细：v6.1 vs v6.2</x:v>
      </x:c>
      <x:c r="AB1" s="4" t="str">
        <x:v>预测明细：v6.1 vs v6.2</x:v>
      </x:c>
      <x:c r="AC1" s="4" t="str">
        <x:v>预测明细：v6.1 vs v6.2</x:v>
      </x:c>
      <x:c r="AD1" s="4" t="str">
        <x:v>预测明细：v6.1 vs v6.2</x:v>
      </x:c>
      <x:c r="AE1" s="4" t="str">
        <x:v>预测明细：v6.1 vs v6.2</x:v>
      </x:c>
    </x:row>
    <x:row r="2" ht="35" customHeight="1">
      <x:c r="A2" s="11" t="str">
        <x:v>蓝字为回顾性点时点预测，绿色为后续Actual。区间分数同时惩罚过宽与漏覆盖。</x:v>
      </x:c>
      <x:c r="B2" s="11" t="str">
        <x:v>蓝字为回顾性点时点预测，绿色为后续Actual。区间分数同时惩罚过宽与漏覆盖。</x:v>
      </x:c>
      <x:c r="C2" s="11" t="str">
        <x:v>蓝字为回顾性点时点预测，绿色为后续Actual。区间分数同时惩罚过宽与漏覆盖。</x:v>
      </x:c>
      <x:c r="D2" s="11" t="str">
        <x:v>蓝字为回顾性点时点预测，绿色为后续Actual。区间分数同时惩罚过宽与漏覆盖。</x:v>
      </x:c>
      <x:c r="E2" s="11" t="str">
        <x:v>蓝字为回顾性点时点预测，绿色为后续Actual。区间分数同时惩罚过宽与漏覆盖。</x:v>
      </x:c>
      <x:c r="F2" s="11" t="str">
        <x:v>蓝字为回顾性点时点预测，绿色为后续Actual。区间分数同时惩罚过宽与漏覆盖。</x:v>
      </x:c>
      <x:c r="G2" s="11" t="str">
        <x:v>蓝字为回顾性点时点预测，绿色为后续Actual。区间分数同时惩罚过宽与漏覆盖。</x:v>
      </x:c>
      <x:c r="H2" s="11" t="str">
        <x:v>蓝字为回顾性点时点预测，绿色为后续Actual。区间分数同时惩罚过宽与漏覆盖。</x:v>
      </x:c>
      <x:c r="I2" s="11" t="str">
        <x:v>蓝字为回顾性点时点预测，绿色为后续Actual。区间分数同时惩罚过宽与漏覆盖。</x:v>
      </x:c>
      <x:c r="J2" s="11" t="str">
        <x:v>蓝字为回顾性点时点预测，绿色为后续Actual。区间分数同时惩罚过宽与漏覆盖。</x:v>
      </x:c>
      <x:c r="K2" s="11" t="str">
        <x:v>蓝字为回顾性点时点预测，绿色为后续Actual。区间分数同时惩罚过宽与漏覆盖。</x:v>
      </x:c>
      <x:c r="L2" s="11" t="str">
        <x:v>蓝字为回顾性点时点预测，绿色为后续Actual。区间分数同时惩罚过宽与漏覆盖。</x:v>
      </x:c>
      <x:c r="M2" s="11" t="str">
        <x:v>蓝字为回顾性点时点预测，绿色为后续Actual。区间分数同时惩罚过宽与漏覆盖。</x:v>
      </x:c>
      <x:c r="N2" s="11" t="str">
        <x:v>蓝字为回顾性点时点预测，绿色为后续Actual。区间分数同时惩罚过宽与漏覆盖。</x:v>
      </x:c>
      <x:c r="O2" s="11" t="str">
        <x:v>蓝字为回顾性点时点预测，绿色为后续Actual。区间分数同时惩罚过宽与漏覆盖。</x:v>
      </x:c>
      <x:c r="P2" s="11" t="str">
        <x:v>蓝字为回顾性点时点预测，绿色为后续Actual。区间分数同时惩罚过宽与漏覆盖。</x:v>
      </x:c>
      <x:c r="Q2" s="11" t="str">
        <x:v>蓝字为回顾性点时点预测，绿色为后续Actual。区间分数同时惩罚过宽与漏覆盖。</x:v>
      </x:c>
      <x:c r="R2" s="11" t="str">
        <x:v>蓝字为回顾性点时点预测，绿色为后续Actual。区间分数同时惩罚过宽与漏覆盖。</x:v>
      </x:c>
      <x:c r="S2" s="11" t="str">
        <x:v>蓝字为回顾性点时点预测，绿色为后续Actual。区间分数同时惩罚过宽与漏覆盖。</x:v>
      </x:c>
      <x:c r="T2" s="11" t="str">
        <x:v>蓝字为回顾性点时点预测，绿色为后续Actual。区间分数同时惩罚过宽与漏覆盖。</x:v>
      </x:c>
      <x:c r="U2" s="11" t="str">
        <x:v>蓝字为回顾性点时点预测，绿色为后续Actual。区间分数同时惩罚过宽与漏覆盖。</x:v>
      </x:c>
      <x:c r="V2" s="11" t="str">
        <x:v>蓝字为回顾性点时点预测，绿色为后续Actual。区间分数同时惩罚过宽与漏覆盖。</x:v>
      </x:c>
      <x:c r="W2" s="11" t="str">
        <x:v>蓝字为回顾性点时点预测，绿色为后续Actual。区间分数同时惩罚过宽与漏覆盖。</x:v>
      </x:c>
      <x:c r="X2" s="11" t="str">
        <x:v>蓝字为回顾性点时点预测，绿色为后续Actual。区间分数同时惩罚过宽与漏覆盖。</x:v>
      </x:c>
      <x:c r="Y2" s="11" t="str">
        <x:v>蓝字为回顾性点时点预测，绿色为后续Actual。区间分数同时惩罚过宽与漏覆盖。</x:v>
      </x:c>
      <x:c r="Z2" s="11" t="str">
        <x:v>蓝字为回顾性点时点预测，绿色为后续Actual。区间分数同时惩罚过宽与漏覆盖。</x:v>
      </x:c>
      <x:c r="AA2" s="11" t="str">
        <x:v>蓝字为回顾性点时点预测，绿色为后续Actual。区间分数同时惩罚过宽与漏覆盖。</x:v>
      </x:c>
      <x:c r="AB2" s="11" t="str">
        <x:v>蓝字为回顾性点时点预测，绿色为后续Actual。区间分数同时惩罚过宽与漏覆盖。</x:v>
      </x:c>
      <x:c r="AC2" s="11" t="str">
        <x:v>蓝字为回顾性点时点预测，绿色为后续Actual。区间分数同时惩罚过宽与漏覆盖。</x:v>
      </x:c>
      <x:c r="AD2" s="11" t="str">
        <x:v>蓝字为回顾性点时点预测，绿色为后续Actual。区间分数同时惩罚过宽与漏覆盖。</x:v>
      </x:c>
      <x:c r="AE2" s="11" t="str">
        <x:v>蓝字为回顾性点时点预测，绿色为后续Actual。区间分数同时惩罚过宽与漏覆盖。</x:v>
      </x:c>
    </x:row>
    <x:row r="4" ht="28" customHeight="1">
      <x:c r="A4" s="26" t="str">
        <x:v>数据组</x:v>
      </x:c>
      <x:c r="B4" s="26" t="str">
        <x:v>案例</x:v>
      </x:c>
      <x:c r="C4" s="26" t="str">
        <x:v>公司</x:v>
      </x:c>
      <x:c r="D4" s="26" t="str">
        <x:v>原型</x:v>
      </x:c>
      <x:c r="E4" s="26" t="str">
        <x:v>截面</x:v>
      </x:c>
      <x:c r="F4" s="26" t="str">
        <x:v>目标期</x:v>
      </x:c>
      <x:c r="G4" s="26" t="str">
        <x:v>期限</x:v>
      </x:c>
      <x:c r="H4" s="26" t="str">
        <x:v>指标</x:v>
      </x:c>
      <x:c r="I4" s="26" t="str">
        <x:v>单位</x:v>
      </x:c>
      <x:c r="J4" s="26" t="str">
        <x:v>Actual</x:v>
      </x:c>
      <x:c r="K4" s="26" t="str">
        <x:v>v6.1点值</x:v>
      </x:c>
      <x:c r="L4" s="26" t="str">
        <x:v>v6.2点值</x:v>
      </x:c>
      <x:c r="M4" s="26" t="str">
        <x:v>v6.1下限</x:v>
      </x:c>
      <x:c r="N4" s="26" t="str">
        <x:v>v6.1上限</x:v>
      </x:c>
      <x:c r="O4" s="26" t="str">
        <x:v>v6.2下限</x:v>
      </x:c>
      <x:c r="P4" s="26" t="str">
        <x:v>v6.2上限</x:v>
      </x:c>
      <x:c r="Q4" s="26" t="str">
        <x:v>v6.1收入APE</x:v>
      </x:c>
      <x:c r="R4" s="26" t="str">
        <x:v>v6.2收入APE</x:v>
      </x:c>
      <x:c r="S4" s="26" t="str">
        <x:v>实际利润率</x:v>
      </x:c>
      <x:c r="T4" s="26" t="str">
        <x:v>v6.1利润率</x:v>
      </x:c>
      <x:c r="U4" s="26" t="str">
        <x:v>v6.2利润率</x:v>
      </x:c>
      <x:c r="V4" s="26" t="str">
        <x:v>v6.1利润率误差pp</x:v>
      </x:c>
      <x:c r="W4" s="26" t="str">
        <x:v>v6.2利润率误差pp</x:v>
      </x:c>
      <x:c r="X4" s="26" t="str">
        <x:v>v6.1命中</x:v>
      </x:c>
      <x:c r="Y4" s="26" t="str">
        <x:v>v6.2命中</x:v>
      </x:c>
      <x:c r="Z4" s="26" t="str">
        <x:v>v6.1区间分数</x:v>
      </x:c>
      <x:c r="AA4" s="26" t="str">
        <x:v>v6.2区间分数</x:v>
      </x:c>
      <x:c r="AB4" s="26" t="str">
        <x:v>v6.1方向/符号</x:v>
      </x:c>
      <x:c r="AC4" s="26" t="str">
        <x:v>v6.2方向/符号</x:v>
      </x:c>
      <x:c r="AD4" s="26" t="str">
        <x:v>来源ID</x:v>
      </x:c>
      <x:c r="AE4" s="26" t="str">
        <x:v>备注</x:v>
      </x:c>
    </x:row>
    <x:row r="5" ht="24" customHeight="1">
      <x:c r="A5" t="str">
        <x:v>校准集</x:v>
      </x:c>
      <x:c r="B5" t="str">
        <x:v>LRCX@FY2020</x:v>
      </x:c>
      <x:c r="C5" t="str">
        <x:v>Lam Research</x:v>
      </x:c>
      <x:c r="D5" t="str">
        <x:v>wafer-fab-equipment</x:v>
      </x:c>
      <x:c r="E5" t="str">
        <x:v>FY2020</x:v>
      </x:c>
      <x:c r="F5" t="str">
        <x:v>FY2021</x:v>
      </x:c>
      <x:c r="G5" t="n">
        <x:v>1</x:v>
      </x:c>
      <x:c r="H5" t="str">
        <x:v>营业收入</x:v>
      </x:c>
      <x:c r="I5" t="str">
        <x:v>USD bn</x:v>
      </x:c>
      <x:c r="J5" s="77" t="n">
        <x:v>14.62615</x:v>
      </x:c>
      <x:c r="K5" s="81" t="n">
        <x:v>12.5</x:v>
      </x:c>
      <x:c r="L5" s="81" t="n">
        <x:v>13.8</x:v>
      </x:c>
      <x:c r="M5" s="81" t="n">
        <x:v>11.25</x:v>
      </x:c>
      <x:c r="N5" s="81" t="n">
        <x:v>13.750000000000002</x:v>
      </x:c>
      <x:c r="O5" s="81" t="n">
        <x:v>12.696000000000002</x:v>
      </x:c>
      <x:c r="P5" s="81" t="n">
        <x:v>14.904000000000002</x:v>
      </x:c>
      <x:c r="Q5" s="32" t="n">
        <x:f>ABS(K5-J5)/ABS(J5)</x:f>
        <x:v>0.1453663472615829</x:v>
      </x:c>
      <x:c r="R5" s="32" t="n">
        <x:f>ABS(L5-J5)/ABS(J5)</x:f>
        <x:v>0.056484447376787476</x:v>
      </x:c>
      <x:c r="S5" s="32"/>
      <x:c r="T5" s="32"/>
      <x:c r="U5" s="32"/>
      <x:c r="V5" s="34"/>
      <x:c r="W5" s="34"/>
      <x:c r="X5" t="str">
        <x:f>IF(AND(J5&gt;=M5,J5&lt;=N5),"是","否")</x:f>
        <x:v>否</x:v>
      </x:c>
      <x:c r="Y5" t="str">
        <x:f>IF(AND(J5&gt;=O5,J5&lt;=P5),"是","否")</x:f>
        <x:v>是</x:v>
      </x:c>
      <x:c r="Z5" s="36" t="n">
        <x:f>(N5-M5+IF(J5&lt;M5,10*(M5-J5),IF(J5&gt;N5,10*(J5-N5),0)))/ABS(J5)</x:f>
        <x:v>0.7699565504250943</x:v>
      </x:c>
      <x:c r="AA5" s="36" t="n">
        <x:f>(P5-O5+IF(J5&lt;O5,10*(O5-J5),IF(J5&gt;P5,10*(J5-P5),0)))/ABS(J5)</x:f>
        <x:v>0.15096248841971402</x:v>
      </x:c>
      <x:c r="AB5" t="str">
        <x:v>正确</x:v>
      </x:c>
      <x:c r="AC5" t="str">
        <x:v>正确</x:v>
      </x:c>
      <x:c r="AD5" t="str">
        <x:v>LRCX_FY2021_10K / LRCX_FY2022_10K / LRCX_FY2023_10K</x:v>
      </x:c>
      <x:c r="AE5" t="str">
        <x:v>利润行方向栏为利润正负号</x:v>
      </x:c>
    </x:row>
    <x:row r="6" ht="24" customHeight="1">
      <x:c r="A6" t="str">
        <x:v>校准集</x:v>
      </x:c>
      <x:c r="B6" t="str">
        <x:v>LRCX@FY2020</x:v>
      </x:c>
      <x:c r="C6" t="str">
        <x:v>Lam Research</x:v>
      </x:c>
      <x:c r="D6" t="str">
        <x:v>wafer-fab-equipment</x:v>
      </x:c>
      <x:c r="E6" t="str">
        <x:v>FY2020</x:v>
      </x:c>
      <x:c r="F6" t="str">
        <x:v>FY2021</x:v>
      </x:c>
      <x:c r="G6" t="n">
        <x:v>1</x:v>
      </x:c>
      <x:c r="H6" t="str">
        <x:v>营业利润</x:v>
      </x:c>
      <x:c r="I6" t="str">
        <x:v>USD bn</x:v>
      </x:c>
      <x:c r="J6" s="77" t="n">
        <x:v>4.482023</x:v>
      </x:c>
      <x:c r="K6" s="81" t="n">
        <x:v>3.4</x:v>
      </x:c>
      <x:c r="L6" s="81" t="n">
        <x:v>4.05</x:v>
      </x:c>
      <x:c r="M6" s="81" t="n">
        <x:v>2.9</x:v>
      </x:c>
      <x:c r="N6" s="81" t="n">
        <x:v>3.9</x:v>
      </x:c>
      <x:c r="O6" s="81" t="n">
        <x:v>3.5669999999999997</x:v>
      </x:c>
      <x:c r="P6" s="81" t="n">
        <x:v>4.5329999999999995</x:v>
      </x:c>
      <x:c r="Q6" s="32"/>
      <x:c r="R6" s="32"/>
      <x:c r="S6" s="32" t="n">
        <x:f>J6/J5</x:f>
        <x:v>0.3064390150518079</x:v>
      </x:c>
      <x:c r="T6" s="32" t="n">
        <x:f>K6/K5</x:f>
        <x:v>0.272</x:v>
      </x:c>
      <x:c r="U6" s="32" t="n">
        <x:f>L6/L5</x:f>
        <x:v>0.2934782608695652</x:v>
      </x:c>
      <x:c r="V6" s="34" t="n">
        <x:f>ABS(T6-S6)*100</x:f>
        <x:v>3.4439015051807855</x:v>
      </x:c>
      <x:c r="W6" s="34" t="n">
        <x:f>ABS(U6-S6)*100</x:f>
        <x:v>1.2960754182242684</x:v>
      </x:c>
      <x:c r="X6" t="str">
        <x:f>IF(AND(J6&gt;=M6,J6&lt;=N6),"是","否")</x:f>
        <x:v>否</x:v>
      </x:c>
      <x:c r="Y6" t="str">
        <x:f>IF(AND(J6&gt;=O6,J6&lt;=P6),"是","否")</x:f>
        <x:v>是</x:v>
      </x:c>
      <x:c r="Z6" s="36" t="n">
        <x:f>(N6-M6+IF(J6&lt;M6,10*(M6-J6),IF(J6&gt;N6,10*(J6-N6),0)))/ABS(J5)</x:f>
        <x:v>0.46630384619329074</x:v>
      </x:c>
      <x:c r="AA6" s="36" t="n">
        <x:f>(P6-O6+IF(J6&lt;O6,10*(O6-J6),IF(J6&gt;P6,10*(J6-P6),0)))/ABS(J5)</x:f>
        <x:v>0.06604608868362485</x:v>
      </x:c>
      <x:c r="AB6" t="str">
        <x:v>正确</x:v>
      </x:c>
      <x:c r="AC6" t="str">
        <x:v>正确</x:v>
      </x:c>
      <x:c r="AD6" t="str">
        <x:v>LRCX_FY2021_10K / LRCX_FY2022_10K / LRCX_FY2023_10K</x:v>
      </x:c>
      <x:c r="AE6" t="str">
        <x:v>利润行方向栏为利润正负号</x:v>
      </x:c>
    </x:row>
    <x:row r="7" ht="24" customHeight="1">
      <x:c r="A7" t="str">
        <x:v>校准集</x:v>
      </x:c>
      <x:c r="B7" t="str">
        <x:v>LRCX@FY2020</x:v>
      </x:c>
      <x:c r="C7" t="str">
        <x:v>Lam Research</x:v>
      </x:c>
      <x:c r="D7" t="str">
        <x:v>wafer-fab-equipment</x:v>
      </x:c>
      <x:c r="E7" t="str">
        <x:v>FY2020</x:v>
      </x:c>
      <x:c r="F7" t="str">
        <x:v>FY2022</x:v>
      </x:c>
      <x:c r="G7" t="n">
        <x:v>2</x:v>
      </x:c>
      <x:c r="H7" t="str">
        <x:v>营业收入</x:v>
      </x:c>
      <x:c r="I7" t="str">
        <x:v>USD bn</x:v>
      </x:c>
      <x:c r="J7" s="77" t="n">
        <x:v>17.227039</x:v>
      </x:c>
      <x:c r="K7" s="81" t="n">
        <x:v>14.5</x:v>
      </x:c>
      <x:c r="L7" s="81" t="n">
        <x:v>16</x:v>
      </x:c>
      <x:c r="M7" s="81" t="n">
        <x:v>11.89</x:v>
      </x:c>
      <x:c r="N7" s="81" t="n">
        <x:v>17.11</x:v>
      </x:c>
      <x:c r="O7" s="81" t="n">
        <x:v>13.6</x:v>
      </x:c>
      <x:c r="P7" s="81" t="n">
        <x:v>18.4</x:v>
      </x:c>
      <x:c r="Q7" s="32" t="n">
        <x:f>ABS(K7-J7)/ABS(J7)</x:f>
        <x:v>0.1582999260639046</x:v>
      </x:c>
      <x:c r="R7" s="32" t="n">
        <x:f>ABS(L7-J7)/ABS(J7)</x:f>
        <x:v>0.07122750462223956</x:v>
      </x:c>
      <x:c r="S7" s="32"/>
      <x:c r="T7" s="32"/>
      <x:c r="U7" s="32"/>
      <x:c r="V7" s="34"/>
      <x:c r="W7" s="34"/>
      <x:c r="X7" t="str">
        <x:f>IF(AND(J7&gt;=M7,J7&lt;=N7),"是","否")</x:f>
        <x:v>否</x:v>
      </x:c>
      <x:c r="Y7" t="str">
        <x:f>IF(AND(J7&gt;=O7,J7&lt;=P7),"是","否")</x:f>
        <x:v>是</x:v>
      </x:c>
      <x:c r="Z7" s="36" t="n">
        <x:f>(N7-M7+IF(J7&lt;M7,10*(M7-J7),IF(J7&gt;N7,10*(J7-N7),0)))/ABS(J7)</x:f>
        <x:v>0.37095115417106894</x:v>
      </x:c>
      <x:c r="AA7" s="36" t="n">
        <x:f>(P7-O7+IF(J7&lt;O7,10*(O7-J7),IF(J7&gt;P7,10*(J7-P7),0)))/ABS(J7)</x:f>
        <x:v>0.27863174861332807</x:v>
      </x:c>
      <x:c r="AB7" t="str">
        <x:v>正确</x:v>
      </x:c>
      <x:c r="AC7" t="str">
        <x:v>正确</x:v>
      </x:c>
      <x:c r="AD7" t="str">
        <x:v>LRCX_FY2021_10K / LRCX_FY2022_10K / LRCX_FY2023_10K</x:v>
      </x:c>
      <x:c r="AE7" t="str">
        <x:v>利润行方向栏为利润正负号</x:v>
      </x:c>
    </x:row>
    <x:row r="8" ht="24" customHeight="1">
      <x:c r="A8" t="str">
        <x:v>校准集</x:v>
      </x:c>
      <x:c r="B8" t="str">
        <x:v>LRCX@FY2020</x:v>
      </x:c>
      <x:c r="C8" t="str">
        <x:v>Lam Research</x:v>
      </x:c>
      <x:c r="D8" t="str">
        <x:v>wafer-fab-equipment</x:v>
      </x:c>
      <x:c r="E8" t="str">
        <x:v>FY2020</x:v>
      </x:c>
      <x:c r="F8" t="str">
        <x:v>FY2022</x:v>
      </x:c>
      <x:c r="G8" t="n">
        <x:v>2</x:v>
      </x:c>
      <x:c r="H8" t="str">
        <x:v>营业利润</x:v>
      </x:c>
      <x:c r="I8" t="str">
        <x:v>USD bn</x:v>
      </x:c>
      <x:c r="J8" s="77" t="n">
        <x:v>5.381822</x:v>
      </x:c>
      <x:c r="K8" s="81" t="n">
        <x:v>4.1</x:v>
      </x:c>
      <x:c r="L8" s="81" t="n">
        <x:v>4.8</x:v>
      </x:c>
      <x:c r="M8" s="81" t="n">
        <x:v>3.0849999999999995</x:v>
      </x:c>
      <x:c r="N8" s="81" t="n">
        <x:v>5.115</x:v>
      </x:c>
      <x:c r="O8" s="81" t="n">
        <x:v>3.84</x:v>
      </x:c>
      <x:c r="P8" s="81" t="n">
        <x:v>5.76</x:v>
      </x:c>
      <x:c r="Q8" s="32"/>
      <x:c r="R8" s="32"/>
      <x:c r="S8" s="32" t="n">
        <x:f>J8/J7</x:f>
        <x:v>0.31240551553868307</x:v>
      </x:c>
      <x:c r="T8" s="32" t="n">
        <x:f>K8/K7</x:f>
        <x:v>0.2827586206896551</x:v>
      </x:c>
      <x:c r="U8" s="32" t="n">
        <x:f>L8/L7</x:f>
        <x:v>0.3</x:v>
      </x:c>
      <x:c r="V8" s="34" t="n">
        <x:f>ABS(T8-S8)*100</x:f>
        <x:v>2.964689484902794</x:v>
      </x:c>
      <x:c r="W8" s="34" t="n">
        <x:f>ABS(U8-S8)*100</x:f>
        <x:v>1.2405515538683076</x:v>
      </x:c>
      <x:c r="X8" t="str">
        <x:f>IF(AND(J8&gt;=M8,J8&lt;=N8),"是","否")</x:f>
        <x:v>否</x:v>
      </x:c>
      <x:c r="Y8" t="str">
        <x:f>IF(AND(J8&gt;=O8,J8&lt;=P8),"是","否")</x:f>
        <x:v>是</x:v>
      </x:c>
      <x:c r="Z8" s="36" t="n">
        <x:f>(N8-M8+IF(J8&lt;M8,10*(M8-J8),IF(J8&gt;N8,10*(J8-N8),0)))/ABS(J7)</x:f>
        <x:v>0.2727235945771061</x:v>
      </x:c>
      <x:c r="AA8" s="36" t="n">
        <x:f>(P8-O8+IF(J8&lt;O8,10*(O8-J8),IF(J8&gt;P8,10*(J8-P8),0)))/ABS(J7)</x:f>
        <x:v>0.11145269944533125</x:v>
      </x:c>
      <x:c r="AB8" t="str">
        <x:v>正确</x:v>
      </x:c>
      <x:c r="AC8" t="str">
        <x:v>正确</x:v>
      </x:c>
      <x:c r="AD8" t="str">
        <x:v>LRCX_FY2021_10K / LRCX_FY2022_10K / LRCX_FY2023_10K</x:v>
      </x:c>
      <x:c r="AE8" t="str">
        <x:v>利润行方向栏为利润正负号</x:v>
      </x:c>
    </x:row>
    <x:row r="9" ht="24" customHeight="1">
      <x:c r="A9" t="str">
        <x:v>校准集</x:v>
      </x:c>
      <x:c r="B9" t="str">
        <x:v>LRCX@FY2020</x:v>
      </x:c>
      <x:c r="C9" t="str">
        <x:v>Lam Research</x:v>
      </x:c>
      <x:c r="D9" t="str">
        <x:v>wafer-fab-equipment</x:v>
      </x:c>
      <x:c r="E9" t="str">
        <x:v>FY2020</x:v>
      </x:c>
      <x:c r="F9" t="str">
        <x:v>FY2023</x:v>
      </x:c>
      <x:c r="G9" t="n">
        <x:v>3</x:v>
      </x:c>
      <x:c r="H9" t="str">
        <x:v>营业收入</x:v>
      </x:c>
      <x:c r="I9" t="str">
        <x:v>USD bn</x:v>
      </x:c>
      <x:c r="J9" s="77" t="n">
        <x:v>17.428516</x:v>
      </x:c>
      <x:c r="K9" s="81" t="n">
        <x:v>16</x:v>
      </x:c>
      <x:c r="L9" s="81" t="n">
        <x:v>17</x:v>
      </x:c>
      <x:c r="M9" s="81" t="n">
        <x:v>12</x:v>
      </x:c>
      <x:c r="N9" s="81" t="n">
        <x:v>20</x:v>
      </x:c>
      <x:c r="O9" s="81" t="n">
        <x:v>13.26</x:v>
      </x:c>
      <x:c r="P9" s="81" t="n">
        <x:v>20.74</x:v>
      </x:c>
      <x:c r="Q9" s="32" t="n">
        <x:f>ABS(K9-J9)/ABS(J9)</x:f>
        <x:v>0.0819642934602119</x:v>
      </x:c>
      <x:c r="R9" s="32" t="n">
        <x:f>ABS(L9-J9)/ABS(J9)</x:f>
        <x:v>0.024587061801475144</x:v>
      </x:c>
      <x:c r="S9" s="32"/>
      <x:c r="T9" s="32"/>
      <x:c r="U9" s="32"/>
      <x:c r="V9" s="34"/>
      <x:c r="W9" s="34"/>
      <x:c r="X9" t="str">
        <x:f>IF(AND(J9&gt;=M9,J9&lt;=N9),"是","否")</x:f>
        <x:v>是</x:v>
      </x:c>
      <x:c r="Y9" t="str">
        <x:f>IF(AND(J9&gt;=O9,J9&lt;=P9),"是","否")</x:f>
        <x:v>是</x:v>
      </x:c>
      <x:c r="Z9" s="36" t="n">
        <x:f>(N9-M9+IF(J9&lt;M9,10*(M9-J9),IF(J9&gt;N9,10*(J9-N9),0)))/ABS(J9)</x:f>
        <x:v>0.459017853269894</x:v>
      </x:c>
      <x:c r="AA9" s="36" t="n">
        <x:f>(P9-O9+IF(J9&lt;O9,10*(O9-J9),IF(J9&gt;P9,10*(J9-P9),0)))/ABS(J9)</x:f>
        <x:v>0.42918169280735086</x:v>
      </x:c>
      <x:c r="AB9" t="str">
        <x:v>正确</x:v>
      </x:c>
      <x:c r="AC9" t="str">
        <x:v>正确</x:v>
      </x:c>
      <x:c r="AD9" t="str">
        <x:v>LRCX_FY2021_10K / LRCX_FY2022_10K / LRCX_FY2023_10K</x:v>
      </x:c>
      <x:c r="AE9" t="str">
        <x:v>利润行方向栏为利润正负号</x:v>
      </x:c>
    </x:row>
    <x:row r="10" ht="24" customHeight="1">
      <x:c r="A10" t="str">
        <x:v>校准集</x:v>
      </x:c>
      <x:c r="B10" t="str">
        <x:v>LRCX@FY2020</x:v>
      </x:c>
      <x:c r="C10" t="str">
        <x:v>Lam Research</x:v>
      </x:c>
      <x:c r="D10" t="str">
        <x:v>wafer-fab-equipment</x:v>
      </x:c>
      <x:c r="E10" t="str">
        <x:v>FY2020</x:v>
      </x:c>
      <x:c r="F10" t="str">
        <x:v>FY2023</x:v>
      </x:c>
      <x:c r="G10" t="n">
        <x:v>3</x:v>
      </x:c>
      <x:c r="H10" t="str">
        <x:v>营业利润</x:v>
      </x:c>
      <x:c r="I10" t="str">
        <x:v>USD bn</x:v>
      </x:c>
      <x:c r="J10" s="77" t="n">
        <x:v>5.17486</x:v>
      </x:c>
      <x:c r="K10" s="81" t="n">
        <x:v>4.6</x:v>
      </x:c>
      <x:c r="L10" s="81" t="n">
        <x:v>5</x:v>
      </x:c>
      <x:c r="M10" s="81" t="n">
        <x:v>2.9999999999999996</x:v>
      </x:c>
      <x:c r="N10" s="81" t="n">
        <x:v>6.199999999999999</x:v>
      </x:c>
      <x:c r="O10" s="81" t="n">
        <x:v>3.5549999999999997</x:v>
      </x:c>
      <x:c r="P10" s="81" t="n">
        <x:v>6.445</x:v>
      </x:c>
      <x:c r="Q10" s="32"/>
      <x:c r="R10" s="32"/>
      <x:c r="S10" s="32" t="n">
        <x:f>J10/J9</x:f>
        <x:v>0.2969191410215305</x:v>
      </x:c>
      <x:c r="T10" s="32" t="n">
        <x:f>K10/K9</x:f>
        <x:v>0.2875</x:v>
      </x:c>
      <x:c r="U10" s="32" t="n">
        <x:f>L10/L9</x:f>
        <x:v>0.29411764705882354</x:v>
      </x:c>
      <x:c r="V10" s="34" t="n">
        <x:f>ABS(T10-S10)*100</x:f>
        <x:v>0.9419141021530519</x:v>
      </x:c>
      <x:c r="W10" s="34" t="n">
        <x:f>ABS(U10-S10)*100</x:f>
        <x:v>0.2801493962706958</x:v>
      </x:c>
      <x:c r="X10" t="str">
        <x:f>IF(AND(J10&gt;=M10,J10&lt;=N10),"是","否")</x:f>
        <x:v>是</x:v>
      </x:c>
      <x:c r="Y10" t="str">
        <x:f>IF(AND(J10&gt;=O10,J10&lt;=P10),"是","否")</x:f>
        <x:v>是</x:v>
      </x:c>
      <x:c r="Z10" s="36" t="n">
        <x:f>(N10-M10+IF(J10&lt;M10,10*(M10-J10),IF(J10&gt;N10,10*(J10-N10),0)))/ABS(J9)</x:f>
        <x:v>0.1836071413079576</x:v>
      </x:c>
      <x:c r="AA10" s="36" t="n">
        <x:f>(P10-O10+IF(J10&lt;O10,10*(O10-J10),IF(J10&gt;P10,10*(J10-P10),0)))/ABS(J9)</x:f>
        <x:v>0.16582019949374927</x:v>
      </x:c>
      <x:c r="AB10" t="str">
        <x:v>正确</x:v>
      </x:c>
      <x:c r="AC10" t="str">
        <x:v>正确</x:v>
      </x:c>
      <x:c r="AD10" t="str">
        <x:v>LRCX_FY2021_10K / LRCX_FY2022_10K / LRCX_FY2023_10K</x:v>
      </x:c>
      <x:c r="AE10" t="str">
        <x:v>利润行方向栏为利润正负号</x:v>
      </x:c>
    </x:row>
    <x:row r="11" ht="24" customHeight="1">
      <x:c r="A11" t="str">
        <x:v>校准集</x:v>
      </x:c>
      <x:c r="B11" t="str">
        <x:v>KLA@FY2020</x:v>
      </x:c>
      <x:c r="C11" t="str">
        <x:v>KLA</x:v>
      </x:c>
      <x:c r="D11" t="str">
        <x:v>process-control</x:v>
      </x:c>
      <x:c r="E11" t="str">
        <x:v>FY2020</x:v>
      </x:c>
      <x:c r="F11" t="str">
        <x:v>FY2021</x:v>
      </x:c>
      <x:c r="G11" t="n">
        <x:v>1</x:v>
      </x:c>
      <x:c r="H11" t="str">
        <x:v>营业收入</x:v>
      </x:c>
      <x:c r="I11" t="str">
        <x:v>USD bn</x:v>
      </x:c>
      <x:c r="J11" s="77" t="n">
        <x:v>6.918734</x:v>
      </x:c>
      <x:c r="K11" s="81" t="n">
        <x:v>6.5</x:v>
      </x:c>
      <x:c r="L11" s="81" t="n">
        <x:v>6.7</x:v>
      </x:c>
      <x:c r="M11" s="81" t="n">
        <x:v>5.8500000000000005</x:v>
      </x:c>
      <x:c r="N11" s="81" t="n">
        <x:v>7.15</x:v>
      </x:c>
      <x:c r="O11" s="81" t="n">
        <x:v>6.164000000000001</x:v>
      </x:c>
      <x:c r="P11" s="81" t="n">
        <x:v>7.236000000000001</x:v>
      </x:c>
      <x:c r="Q11" s="32" t="n">
        <x:f>ABS(K11-J11)/ABS(J11)</x:f>
        <x:v>0.06052176597626094</x:v>
      </x:c>
      <x:c r="R11" s="32" t="n">
        <x:f>ABS(L11-J11)/ABS(J11)</x:f>
        <x:v>0.03161474339091509</x:v>
      </x:c>
      <x:c r="S11" s="32"/>
      <x:c r="T11" s="32"/>
      <x:c r="U11" s="32"/>
      <x:c r="V11" s="34"/>
      <x:c r="W11" s="34"/>
      <x:c r="X11" t="str">
        <x:f>IF(AND(J11&gt;=M11,J11&lt;=N11),"是","否")</x:f>
        <x:v>是</x:v>
      </x:c>
      <x:c r="Y11" t="str">
        <x:f>IF(AND(J11&gt;=O11,J11&lt;=P11),"是","否")</x:f>
        <x:v>是</x:v>
      </x:c>
      <x:c r="Z11" s="36" t="n">
        <x:f>(N11-M11+IF(J11&lt;M11,10*(M11-J11),IF(J11&gt;N11,10*(J11-N11),0)))/ABS(J11)</x:f>
        <x:v>0.1878956468047478</x:v>
      </x:c>
      <x:c r="AA11" s="36" t="n">
        <x:f>(P11-O11+IF(J11&lt;O11,10*(O11-J11),IF(J11&gt;P11,10*(J11-P11),0)))/ABS(J11)</x:f>
        <x:v>0.1549416410574536</x:v>
      </x:c>
      <x:c r="AB11" t="str">
        <x:v>正确</x:v>
      </x:c>
      <x:c r="AC11" t="str">
        <x:v>正确</x:v>
      </x:c>
      <x:c r="AD11" t="str">
        <x:v>KLA_FY2020_10K / KLA_FY2021_10K / KLA_FY2022_10K / KLA_FY2023_10K</x:v>
      </x:c>
      <x:c r="AE11" t="str">
        <x:v>利润行方向栏为利润正负号</x:v>
      </x:c>
    </x:row>
    <x:row r="12" ht="24" customHeight="1">
      <x:c r="A12" t="str">
        <x:v>校准集</x:v>
      </x:c>
      <x:c r="B12" t="str">
        <x:v>KLA@FY2020</x:v>
      </x:c>
      <x:c r="C12" t="str">
        <x:v>KLA</x:v>
      </x:c>
      <x:c r="D12" t="str">
        <x:v>process-control</x:v>
      </x:c>
      <x:c r="E12" t="str">
        <x:v>FY2020</x:v>
      </x:c>
      <x:c r="F12" t="str">
        <x:v>FY2021</x:v>
      </x:c>
      <x:c r="G12" t="n">
        <x:v>1</x:v>
      </x:c>
      <x:c r="H12" t="str">
        <x:v>净利润</x:v>
      </x:c>
      <x:c r="I12" t="str">
        <x:v>USD bn</x:v>
      </x:c>
      <x:c r="J12" s="77" t="n">
        <x:v>2.078292</x:v>
      </x:c>
      <x:c r="K12" s="81" t="n">
        <x:v>1.55</x:v>
      </x:c>
      <x:c r="L12" s="81" t="n">
        <x:v>1.9</x:v>
      </x:c>
      <x:c r="M12" s="81" t="n">
        <x:v>1.29</x:v>
      </x:c>
      <x:c r="N12" s="81" t="n">
        <x:v>1.81</x:v>
      </x:c>
      <x:c r="O12" s="81" t="n">
        <x:v>1.6989999999999998</x:v>
      </x:c>
      <x:c r="P12" s="81" t="n">
        <x:v>2.101</x:v>
      </x:c>
      <x:c r="Q12" s="32"/>
      <x:c r="R12" s="32"/>
      <x:c r="S12" s="32" t="n">
        <x:f>J12/J11</x:f>
        <x:v>0.30038616891471764</x:v>
      </x:c>
      <x:c r="T12" s="32" t="n">
        <x:f>K12/K11</x:f>
        <x:v>0.23846153846153847</x:v>
      </x:c>
      <x:c r="U12" s="32" t="n">
        <x:f>L12/L11</x:f>
        <x:v>0.2835820895522388</x:v>
      </x:c>
      <x:c r="V12" s="34" t="n">
        <x:f>ABS(T12-S12)*100</x:f>
        <x:v>6.192463045317917</x:v>
      </x:c>
      <x:c r="W12" s="34" t="n">
        <x:f>ABS(U12-S12)*100</x:f>
        <x:v>1.6804079362478852</x:v>
      </x:c>
      <x:c r="X12" t="str">
        <x:f>IF(AND(J12&gt;=M12,J12&lt;=N12),"是","否")</x:f>
        <x:v>否</x:v>
      </x:c>
      <x:c r="Y12" t="str">
        <x:f>IF(AND(J12&gt;=O12,J12&lt;=P12),"是","否")</x:f>
        <x:v>是</x:v>
      </x:c>
      <x:c r="Z12" s="36" t="n">
        <x:f>(N12-M12+IF(J12&lt;M12,10*(M12-J12),IF(J12&gt;N12,10*(J12-N12),0)))/ABS(J11)</x:f>
        <x:v>0.4629344038952788</x:v>
      </x:c>
      <x:c r="AA12" s="36" t="n">
        <x:f>(P12-O12+IF(J12&lt;O12,10*(O12-J12),IF(J12&gt;P12,10*(J12-P12),0)))/ABS(J11)</x:f>
        <x:v>0.05810311539654511</x:v>
      </x:c>
      <x:c r="AB12" t="str">
        <x:v>正确</x:v>
      </x:c>
      <x:c r="AC12" t="str">
        <x:v>正确</x:v>
      </x:c>
      <x:c r="AD12" t="str">
        <x:v>KLA_FY2020_10K / KLA_FY2021_10K / KLA_FY2022_10K / KLA_FY2023_10K</x:v>
      </x:c>
      <x:c r="AE12" t="str">
        <x:v>利润行方向栏为利润正负号</x:v>
      </x:c>
    </x:row>
    <x:row r="13" ht="24" customHeight="1">
      <x:c r="A13" t="str">
        <x:v>校准集</x:v>
      </x:c>
      <x:c r="B13" t="str">
        <x:v>KLA@FY2020</x:v>
      </x:c>
      <x:c r="C13" t="str">
        <x:v>KLA</x:v>
      </x:c>
      <x:c r="D13" t="str">
        <x:v>process-control</x:v>
      </x:c>
      <x:c r="E13" t="str">
        <x:v>FY2020</x:v>
      </x:c>
      <x:c r="F13" t="str">
        <x:v>FY2022</x:v>
      </x:c>
      <x:c r="G13" t="n">
        <x:v>2</x:v>
      </x:c>
      <x:c r="H13" t="str">
        <x:v>营业收入</x:v>
      </x:c>
      <x:c r="I13" t="str">
        <x:v>USD bn</x:v>
      </x:c>
      <x:c r="J13" s="77" t="n">
        <x:v>9.211883</x:v>
      </x:c>
      <x:c r="K13" s="81" t="n">
        <x:v>7.2</x:v>
      </x:c>
      <x:c r="L13" s="81" t="n">
        <x:v>8.5</x:v>
      </x:c>
      <x:c r="M13" s="81" t="n">
        <x:v>5.904000000000001</x:v>
      </x:c>
      <x:c r="N13" s="81" t="n">
        <x:v>8.496</x:v>
      </x:c>
      <x:c r="O13" s="81" t="n">
        <x:v>7.31</x:v>
      </x:c>
      <x:c r="P13" s="81" t="n">
        <x:v>9.690000000000001</x:v>
      </x:c>
      <x:c r="Q13" s="32" t="n">
        <x:f>ABS(K13-J13)/ABS(J13)</x:f>
        <x:v>0.2184008416086049</x:v>
      </x:c>
      <x:c r="R13" s="32" t="n">
        <x:f>ABS(L13-J13)/ABS(J13)</x:f>
        <x:v>0.07727877134349191</x:v>
      </x:c>
      <x:c r="S13" s="32"/>
      <x:c r="T13" s="32"/>
      <x:c r="U13" s="32"/>
      <x:c r="V13" s="34"/>
      <x:c r="W13" s="34"/>
      <x:c r="X13" t="str">
        <x:f>IF(AND(J13&gt;=M13,J13&lt;=N13),"是","否")</x:f>
        <x:v>否</x:v>
      </x:c>
      <x:c r="Y13" t="str">
        <x:f>IF(AND(J13&gt;=O13,J13&lt;=P13),"是","否")</x:f>
        <x:v>是</x:v>
      </x:c>
      <x:c r="Z13" s="36" t="n">
        <x:f>(N13-M13+IF(J13&lt;M13,10*(M13-J13),IF(J13&gt;N13,10*(J13-N13),0)))/ABS(J13)</x:f>
        <x:v>1.0585056280024396</x:v>
      </x:c>
      <x:c r="AA13" s="36" t="n">
        <x:f>(P13-O13+IF(J13&lt;O13,10*(O13-J13),IF(J13&gt;P13,10*(J13-P13),0)))/ABS(J13)</x:f>
        <x:v>0.25836194402382245</x:v>
      </x:c>
      <x:c r="AB13" t="str">
        <x:v>正确</x:v>
      </x:c>
      <x:c r="AC13" t="str">
        <x:v>正确</x:v>
      </x:c>
      <x:c r="AD13" t="str">
        <x:v>KLA_FY2020_10K / KLA_FY2021_10K / KLA_FY2022_10K / KLA_FY2023_10K</x:v>
      </x:c>
      <x:c r="AE13" t="str">
        <x:v>利润行方向栏为利润正负号</x:v>
      </x:c>
    </x:row>
    <x:row r="14" ht="24" customHeight="1">
      <x:c r="A14" t="str">
        <x:v>校准集</x:v>
      </x:c>
      <x:c r="B14" t="str">
        <x:v>KLA@FY2020</x:v>
      </x:c>
      <x:c r="C14" t="str">
        <x:v>KLA</x:v>
      </x:c>
      <x:c r="D14" t="str">
        <x:v>process-control</x:v>
      </x:c>
      <x:c r="E14" t="str">
        <x:v>FY2020</x:v>
      </x:c>
      <x:c r="F14" t="str">
        <x:v>FY2022</x:v>
      </x:c>
      <x:c r="G14" t="n">
        <x:v>2</x:v>
      </x:c>
      <x:c r="H14" t="str">
        <x:v>净利润</x:v>
      </x:c>
      <x:c r="I14" t="str">
        <x:v>USD bn</x:v>
      </x:c>
      <x:c r="J14" s="77" t="n">
        <x:v>3.321807</x:v>
      </x:c>
      <x:c r="K14" s="81" t="n">
        <x:v>1.85</x:v>
      </x:c>
      <x:c r="L14" s="81" t="n">
        <x:v>2.9</x:v>
      </x:c>
      <x:c r="M14" s="81" t="n">
        <x:v>1.346</x:v>
      </x:c>
      <x:c r="N14" s="81" t="n">
        <x:v>2.354</x:v>
      </x:c>
      <x:c r="O14" s="81" t="n">
        <x:v>2.4749999999999996</x:v>
      </x:c>
      <x:c r="P14" s="81" t="n">
        <x:v>3.325</x:v>
      </x:c>
      <x:c r="Q14" s="32"/>
      <x:c r="R14" s="32"/>
      <x:c r="S14" s="32" t="n">
        <x:f>J14/J13</x:f>
        <x:v>0.360600216047034</x:v>
      </x:c>
      <x:c r="T14" s="32" t="n">
        <x:f>K14/K13</x:f>
        <x:v>0.2569444444444445</x:v>
      </x:c>
      <x:c r="U14" s="32" t="n">
        <x:f>L14/L13</x:f>
        <x:v>0.3411764705882353</x:v>
      </x:c>
      <x:c r="V14" s="34" t="n">
        <x:f>ABS(T14-S14)*100</x:f>
        <x:v>10.365577160258955</x:v>
      </x:c>
      <x:c r="W14" s="34" t="n">
        <x:f>ABS(U14-S14)*100</x:f>
        <x:v>1.9423745458798714</x:v>
      </x:c>
      <x:c r="X14" t="str">
        <x:f>IF(AND(J14&gt;=M14,J14&lt;=N14),"是","否")</x:f>
        <x:v>否</x:v>
      </x:c>
      <x:c r="Y14" t="str">
        <x:f>IF(AND(J14&gt;=O14,J14&lt;=P14),"是","否")</x:f>
        <x:v>是</x:v>
      </x:c>
      <x:c r="Z14" s="36" t="n">
        <x:f>(N14-M14+IF(J14&lt;M14,10*(M14-J14),IF(J14&gt;N14,10*(J14-N14),0)))/ABS(J13)</x:f>
        <x:v>1.1600310164599354</x:v>
      </x:c>
      <x:c r="AA14" s="36" t="n">
        <x:f>(P14-O14+IF(J14&lt;O14,10*(O14-J14),IF(J14&gt;P14,10*(J14-P14),0)))/ABS(J13)</x:f>
        <x:v>0.09227212286565087</x:v>
      </x:c>
      <x:c r="AB14" t="str">
        <x:v>正确</x:v>
      </x:c>
      <x:c r="AC14" t="str">
        <x:v>正确</x:v>
      </x:c>
      <x:c r="AD14" t="str">
        <x:v>KLA_FY2020_10K / KLA_FY2021_10K / KLA_FY2022_10K / KLA_FY2023_10K</x:v>
      </x:c>
      <x:c r="AE14" t="str">
        <x:v>利润行方向栏为利润正负号</x:v>
      </x:c>
    </x:row>
    <x:row r="15" ht="24" customHeight="1">
      <x:c r="A15" t="str">
        <x:v>校准集</x:v>
      </x:c>
      <x:c r="B15" t="str">
        <x:v>KLA@FY2020</x:v>
      </x:c>
      <x:c r="C15" t="str">
        <x:v>KLA</x:v>
      </x:c>
      <x:c r="D15" t="str">
        <x:v>process-control</x:v>
      </x:c>
      <x:c r="E15" t="str">
        <x:v>FY2020</x:v>
      </x:c>
      <x:c r="F15" t="str">
        <x:v>FY2023</x:v>
      </x:c>
      <x:c r="G15" t="n">
        <x:v>3</x:v>
      </x:c>
      <x:c r="H15" t="str">
        <x:v>营业收入</x:v>
      </x:c>
      <x:c r="I15" t="str">
        <x:v>USD bn</x:v>
      </x:c>
      <x:c r="J15" s="77" t="n">
        <x:v>10.496056</x:v>
      </x:c>
      <x:c r="K15" s="81" t="n">
        <x:v>8</x:v>
      </x:c>
      <x:c r="L15" s="81" t="n">
        <x:v>9.8</x:v>
      </x:c>
      <x:c r="M15" s="81" t="n">
        <x:v>6</x:v>
      </x:c>
      <x:c r="N15" s="81" t="n">
        <x:v>10</x:v>
      </x:c>
      <x:c r="O15" s="81" t="n">
        <x:v>7.840000000000001</x:v>
      </x:c>
      <x:c r="P15" s="81" t="n">
        <x:v>11.76</x:v>
      </x:c>
      <x:c r="Q15" s="32" t="n">
        <x:f>ABS(K15-J15)/ABS(J15)</x:f>
        <x:v>0.2378089446169113</x:v>
      </x:c>
      <x:c r="R15" s="32" t="n">
        <x:f>ABS(L15-J15)/ABS(J15)</x:f>
        <x:v>0.06631595715571627</x:v>
      </x:c>
      <x:c r="S15" s="32"/>
      <x:c r="T15" s="32"/>
      <x:c r="U15" s="32"/>
      <x:c r="V15" s="34"/>
      <x:c r="W15" s="34"/>
      <x:c r="X15" t="str">
        <x:f>IF(AND(J15&gt;=M15,J15&lt;=N15),"是","否")</x:f>
        <x:v>否</x:v>
      </x:c>
      <x:c r="Y15" t="str">
        <x:f>IF(AND(J15&gt;=O15,J15&lt;=P15),"是","否")</x:f>
        <x:v>是</x:v>
      </x:c>
      <x:c r="Z15" s="36" t="n">
        <x:f>(N15-M15+IF(J15&lt;M15,10*(M15-J15),IF(J15&gt;N15,10*(J15-N15),0)))/ABS(J15)</x:f>
        <x:v>0.8537073354029355</x:v>
      </x:c>
      <x:c r="AA15" s="36" t="n">
        <x:f>(P15-O15+IF(J15&lt;O15,10*(O15-J15),IF(J15&gt;P15,10*(J15-P15),0)))/ABS(J15)</x:f>
        <x:v>0.3734736171377134</x:v>
      </x:c>
      <x:c r="AB15" t="str">
        <x:v>正确</x:v>
      </x:c>
      <x:c r="AC15" t="str">
        <x:v>正确</x:v>
      </x:c>
      <x:c r="AD15" t="str">
        <x:v>KLA_FY2020_10K / KLA_FY2021_10K / KLA_FY2022_10K / KLA_FY2023_10K</x:v>
      </x:c>
      <x:c r="AE15" t="str">
        <x:v>利润行方向栏为利润正负号</x:v>
      </x:c>
    </x:row>
    <x:row r="16" ht="24" customHeight="1">
      <x:c r="A16" t="str">
        <x:v>校准集</x:v>
      </x:c>
      <x:c r="B16" t="str">
        <x:v>KLA@FY2020</x:v>
      </x:c>
      <x:c r="C16" t="str">
        <x:v>KLA</x:v>
      </x:c>
      <x:c r="D16" t="str">
        <x:v>process-control</x:v>
      </x:c>
      <x:c r="E16" t="str">
        <x:v>FY2020</x:v>
      </x:c>
      <x:c r="F16" t="str">
        <x:v>FY2023</x:v>
      </x:c>
      <x:c r="G16" t="n">
        <x:v>3</x:v>
      </x:c>
      <x:c r="H16" t="str">
        <x:v>净利润</x:v>
      </x:c>
      <x:c r="I16" t="str">
        <x:v>USD bn</x:v>
      </x:c>
      <x:c r="J16" s="77" t="n">
        <x:v>3.387277</x:v>
      </x:c>
      <x:c r="K16" s="81" t="n">
        <x:v>2.1</x:v>
      </x:c>
      <x:c r="L16" s="81" t="n">
        <x:v>3.1</x:v>
      </x:c>
      <x:c r="M16" s="81" t="n">
        <x:v>1.3</x:v>
      </x:c>
      <x:c r="N16" s="81" t="n">
        <x:v>2.9000000000000004</x:v>
      </x:c>
      <x:c r="O16" s="81" t="n">
        <x:v>2.365</x:v>
      </x:c>
      <x:c r="P16" s="81" t="n">
        <x:v>3.835</x:v>
      </x:c>
      <x:c r="Q16" s="32"/>
      <x:c r="R16" s="32"/>
      <x:c r="S16" s="32" t="n">
        <x:f>J16/J15</x:f>
        <x:v>0.32271902893810783</x:v>
      </x:c>
      <x:c r="T16" s="32" t="n">
        <x:f>K16/K15</x:f>
        <x:v>0.2625</x:v>
      </x:c>
      <x:c r="U16" s="32" t="n">
        <x:f>L16/L15</x:f>
        <x:v>0.31632653061224486</x:v>
      </x:c>
      <x:c r="V16" s="34" t="n">
        <x:f>ABS(T16-S16)*100</x:f>
        <x:v>6.021902893810783</x:v>
      </x:c>
      <x:c r="W16" s="34" t="n">
        <x:f>ABS(U16-S16)*100</x:f>
        <x:v>0.6392498325862972</x:v>
      </x:c>
      <x:c r="X16" t="str">
        <x:f>IF(AND(J16&gt;=M16,J16&lt;=N16),"是","否")</x:f>
        <x:v>否</x:v>
      </x:c>
      <x:c r="Y16" t="str">
        <x:f>IF(AND(J16&gt;=O16,J16&lt;=P16),"是","否")</x:f>
        <x:v>是</x:v>
      </x:c>
      <x:c r="Z16" s="36" t="n">
        <x:f>(N16-M16+IF(J16&lt;M16,10*(M16-J16),IF(J16&gt;N16,10*(J16-N16),0)))/ABS(J15)</x:f>
        <x:v>0.6166859246939992</x:v>
      </x:c>
      <x:c r="AA16" s="36" t="n">
        <x:f>(P16-O16+IF(J16&lt;O16,10*(O16-J16),IF(J16&gt;P16,10*(J16-P16),0)))/ABS(J15)</x:f>
        <x:v>0.14005260642664252</x:v>
      </x:c>
      <x:c r="AB16" t="str">
        <x:v>正确</x:v>
      </x:c>
      <x:c r="AC16" t="str">
        <x:v>正确</x:v>
      </x:c>
      <x:c r="AD16" t="str">
        <x:v>KLA_FY2020_10K / KLA_FY2021_10K / KLA_FY2022_10K / KLA_FY2023_10K</x:v>
      </x:c>
      <x:c r="AE16" t="str">
        <x:v>利润行方向栏为利润正负号</x:v>
      </x:c>
    </x:row>
    <x:row r="17" ht="24" customHeight="1">
      <x:c r="A17" t="str">
        <x:v>伪留出集</x:v>
      </x:c>
      <x:c r="B17" t="str">
        <x:v>LRCX@FY2021</x:v>
      </x:c>
      <x:c r="C17" t="str">
        <x:v>Lam Research</x:v>
      </x:c>
      <x:c r="D17" t="str">
        <x:v>wafer-fab-equipment</x:v>
      </x:c>
      <x:c r="E17" t="str">
        <x:v>FY2021</x:v>
      </x:c>
      <x:c r="F17" t="str">
        <x:v>FY2022</x:v>
      </x:c>
      <x:c r="G17" t="n">
        <x:v>1</x:v>
      </x:c>
      <x:c r="H17" t="str">
        <x:v>营业收入</x:v>
      </x:c>
      <x:c r="I17" t="str">
        <x:v>USD bn</x:v>
      </x:c>
      <x:c r="J17" s="77" t="n">
        <x:v>17.227039</x:v>
      </x:c>
      <x:c r="K17" s="81" t="n">
        <x:v>17</x:v>
      </x:c>
      <x:c r="L17" s="81" t="n">
        <x:v>16.9</x:v>
      </x:c>
      <x:c r="M17" s="81" t="n">
        <x:v>15.3</x:v>
      </x:c>
      <x:c r="N17" s="81" t="n">
        <x:v>18.700000000000003</x:v>
      </x:c>
      <x:c r="O17" s="81" t="n">
        <x:v>15.548</x:v>
      </x:c>
      <x:c r="P17" s="81" t="n">
        <x:v>18.252</x:v>
      </x:c>
      <x:c r="Q17" s="32" t="n">
        <x:f>ABS(K17-J17)/ABS(J17)</x:f>
        <x:v>0.013179223661129537</x:v>
      </x:c>
      <x:c r="R17" s="32" t="n">
        <x:f>ABS(L17-J17)/ABS(J17)</x:f>
        <x:v>0.018984051757240623</x:v>
      </x:c>
      <x:c r="S17" s="32"/>
      <x:c r="T17" s="32"/>
      <x:c r="U17" s="32"/>
      <x:c r="V17" s="34"/>
      <x:c r="W17" s="34"/>
      <x:c r="X17" t="str">
        <x:f>IF(AND(J17&gt;=M17,J17&lt;=N17),"是","否")</x:f>
        <x:v>是</x:v>
      </x:c>
      <x:c r="Y17" t="str">
        <x:f>IF(AND(J17&gt;=O17,J17&lt;=P17),"是","否")</x:f>
        <x:v>是</x:v>
      </x:c>
      <x:c r="Z17" s="36" t="n">
        <x:f>(N17-M17+IF(J17&lt;M17,10*(M17-J17),IF(J17&gt;N17,10*(J17-N17),0)))/ABS(J17)</x:f>
        <x:v>0.1973641552677742</x:v>
      </x:c>
      <x:c r="AA17" s="36" t="n">
        <x:f>(P17-O17+IF(J17&lt;O17,10*(O17-J17),IF(J17&gt;P17,10*(J17-P17),0)))/ABS(J17)</x:f>
        <x:v>0.15696255171884144</x:v>
      </x:c>
      <x:c r="AB17" t="str">
        <x:v>正确</x:v>
      </x:c>
      <x:c r="AC17" t="str">
        <x:v>正确</x:v>
      </x:c>
      <x:c r="AD17" t="str">
        <x:v>LRCX_FY2021_10K / LRCX_FY2022_10K / LRCX_FY2023_10K / LRCX_FY2024_10K</x:v>
      </x:c>
      <x:c r="AE17" t="str">
        <x:v>利润行方向栏为利润正负号</x:v>
      </x:c>
    </x:row>
    <x:row r="18" ht="24" customHeight="1">
      <x:c r="A18" t="str">
        <x:v>伪留出集</x:v>
      </x:c>
      <x:c r="B18" t="str">
        <x:v>LRCX@FY2021</x:v>
      </x:c>
      <x:c r="C18" t="str">
        <x:v>Lam Research</x:v>
      </x:c>
      <x:c r="D18" t="str">
        <x:v>wafer-fab-equipment</x:v>
      </x:c>
      <x:c r="E18" t="str">
        <x:v>FY2021</x:v>
      </x:c>
      <x:c r="F18" t="str">
        <x:v>FY2022</x:v>
      </x:c>
      <x:c r="G18" t="n">
        <x:v>1</x:v>
      </x:c>
      <x:c r="H18" t="str">
        <x:v>营业利润</x:v>
      </x:c>
      <x:c r="I18" t="str">
        <x:v>USD bn</x:v>
      </x:c>
      <x:c r="J18" s="77" t="n">
        <x:v>5.381822</x:v>
      </x:c>
      <x:c r="K18" s="81" t="n">
        <x:v>5.3</x:v>
      </x:c>
      <x:c r="L18" s="81" t="n">
        <x:v>5.2</x:v>
      </x:c>
      <x:c r="M18" s="81" t="n">
        <x:v>4.62</x:v>
      </x:c>
      <x:c r="N18" s="81" t="n">
        <x:v>5.9799999999999995</x:v>
      </x:c>
      <x:c r="O18" s="81" t="n">
        <x:v>4.6085</x:v>
      </x:c>
      <x:c r="P18" s="81" t="n">
        <x:v>5.7915</x:v>
      </x:c>
      <x:c r="Q18" s="32"/>
      <x:c r="R18" s="32"/>
      <x:c r="S18" s="32" t="n">
        <x:f>J18/J17</x:f>
        <x:v>0.31240551553868307</x:v>
      </x:c>
      <x:c r="T18" s="32" t="n">
        <x:f>K18/K17</x:f>
        <x:v>0.31176470588235294</x:v>
      </x:c>
      <x:c r="U18" s="32" t="n">
        <x:f>L18/L17</x:f>
        <x:v>0.3076923076923077</x:v>
      </x:c>
      <x:c r="V18" s="34" t="n">
        <x:f>ABS(T18-S18)*100</x:f>
        <x:v>0.06408096563301213</x:v>
      </x:c>
      <x:c r="W18" s="34" t="n">
        <x:f>ABS(U18-S18)*100</x:f>
        <x:v>0.4713207846375356</x:v>
      </x:c>
      <x:c r="X18" t="str">
        <x:f>IF(AND(J18&gt;=M18,J18&lt;=N18),"是","否")</x:f>
        <x:v>是</x:v>
      </x:c>
      <x:c r="Y18" t="str">
        <x:f>IF(AND(J18&gt;=O18,J18&lt;=P18),"是","否")</x:f>
        <x:v>是</x:v>
      </x:c>
      <x:c r="Z18" s="36" t="n">
        <x:f>(N18-M18+IF(J18&lt;M18,10*(M18-J18),IF(J18&gt;N18,10*(J18-N18),0)))/ABS(J17)</x:f>
        <x:v>0.0789456621071096</x:v>
      </x:c>
      <x:c r="AA18" s="36" t="n">
        <x:f>(P18-O18+IF(J18&lt;O18,10*(O18-J18),IF(J18&gt;P18,10*(J18-P18),0)))/ABS(J17)</x:f>
        <x:v>0.06867111637699315</x:v>
      </x:c>
      <x:c r="AB18" t="str">
        <x:v>正确</x:v>
      </x:c>
      <x:c r="AC18" t="str">
        <x:v>正确</x:v>
      </x:c>
      <x:c r="AD18" t="str">
        <x:v>LRCX_FY2021_10K / LRCX_FY2022_10K / LRCX_FY2023_10K / LRCX_FY2024_10K</x:v>
      </x:c>
      <x:c r="AE18" t="str">
        <x:v>利润行方向栏为利润正负号</x:v>
      </x:c>
    </x:row>
    <x:row r="19" ht="24" customHeight="1">
      <x:c r="A19" t="str">
        <x:v>伪留出集</x:v>
      </x:c>
      <x:c r="B19" t="str">
        <x:v>LRCX@FY2021</x:v>
      </x:c>
      <x:c r="C19" t="str">
        <x:v>Lam Research</x:v>
      </x:c>
      <x:c r="D19" t="str">
        <x:v>wafer-fab-equipment</x:v>
      </x:c>
      <x:c r="E19" t="str">
        <x:v>FY2021</x:v>
      </x:c>
      <x:c r="F19" t="str">
        <x:v>FY2023</x:v>
      </x:c>
      <x:c r="G19" t="n">
        <x:v>2</x:v>
      </x:c>
      <x:c r="H19" t="str">
        <x:v>营业收入</x:v>
      </x:c>
      <x:c r="I19" t="str">
        <x:v>USD bn</x:v>
      </x:c>
      <x:c r="J19" s="77" t="n">
        <x:v>17.428516</x:v>
      </x:c>
      <x:c r="K19" s="81" t="n">
        <x:v>19</x:v>
      </x:c>
      <x:c r="L19" s="81" t="n">
        <x:v>17.3</x:v>
      </x:c>
      <x:c r="M19" s="81" t="n">
        <x:v>15.580000000000002</x:v>
      </x:c>
      <x:c r="N19" s="81" t="n">
        <x:v>22.419999999999998</x:v>
      </x:c>
      <x:c r="O19" s="81" t="n">
        <x:v>14.705</x:v>
      </x:c>
      <x:c r="P19" s="81" t="n">
        <x:v>19.895</x:v>
      </x:c>
      <x:c r="Q19" s="32" t="n">
        <x:f>ABS(K19-J19)/ABS(J19)</x:f>
        <x:v>0.09016740151599836</x:v>
      </x:c>
      <x:c r="R19" s="32" t="n">
        <x:f>ABS(L19-J19)/ABS(J19)</x:f>
        <x:v>0.007373892303854077</x:v>
      </x:c>
      <x:c r="S19" s="32"/>
      <x:c r="T19" s="32"/>
      <x:c r="U19" s="32"/>
      <x:c r="V19" s="34"/>
      <x:c r="W19" s="34"/>
      <x:c r="X19" t="str">
        <x:f>IF(AND(J19&gt;=M19,J19&lt;=N19),"是","否")</x:f>
        <x:v>是</x:v>
      </x:c>
      <x:c r="Y19" t="str">
        <x:f>IF(AND(J19&gt;=O19,J19&lt;=P19),"是","否")</x:f>
        <x:v>是</x:v>
      </x:c>
      <x:c r="Z19" s="36" t="n">
        <x:f>(N19-M19+IF(J19&lt;M19,10*(M19-J19),IF(J19&gt;N19,10*(J19-N19),0)))/ABS(J19)</x:f>
        <x:v>0.3924602645457592</x:v>
      </x:c>
      <x:c r="AA19" s="36" t="n">
        <x:f>(P19-O19+IF(J19&lt;O19,10*(O19-J19),IF(J19&gt;P19,10*(J19-P19),0)))/ABS(J19)</x:f>
        <x:v>0.29778783230884376</x:v>
      </x:c>
      <x:c r="AB19" t="str">
        <x:v>正确</x:v>
      </x:c>
      <x:c r="AC19" t="str">
        <x:v>正确</x:v>
      </x:c>
      <x:c r="AD19" t="str">
        <x:v>LRCX_FY2021_10K / LRCX_FY2022_10K / LRCX_FY2023_10K / LRCX_FY2024_10K</x:v>
      </x:c>
      <x:c r="AE19" t="str">
        <x:v>利润行方向栏为利润正负号</x:v>
      </x:c>
    </x:row>
    <x:row r="20" ht="24" customHeight="1">
      <x:c r="A20" t="str">
        <x:v>伪留出集</x:v>
      </x:c>
      <x:c r="B20" t="str">
        <x:v>LRCX@FY2021</x:v>
      </x:c>
      <x:c r="C20" t="str">
        <x:v>Lam Research</x:v>
      </x:c>
      <x:c r="D20" t="str">
        <x:v>wafer-fab-equipment</x:v>
      </x:c>
      <x:c r="E20" t="str">
        <x:v>FY2021</x:v>
      </x:c>
      <x:c r="F20" t="str">
        <x:v>FY2023</x:v>
      </x:c>
      <x:c r="G20" t="n">
        <x:v>2</x:v>
      </x:c>
      <x:c r="H20" t="str">
        <x:v>营业利润</x:v>
      </x:c>
      <x:c r="I20" t="str">
        <x:v>USD bn</x:v>
      </x:c>
      <x:c r="J20" s="77" t="n">
        <x:v>5.17486</x:v>
      </x:c>
      <x:c r="K20" s="81" t="n">
        <x:v>6.1</x:v>
      </x:c>
      <x:c r="L20" s="81" t="n">
        <x:v>5.05</x:v>
      </x:c>
      <x:c r="M20" s="81" t="n">
        <x:v>4.77</x:v>
      </x:c>
      <x:c r="N20" s="81" t="n">
        <x:v>7.43</x:v>
      </x:c>
      <x:c r="O20" s="81" t="n">
        <x:v>4.012</x:v>
      </x:c>
      <x:c r="P20" s="81" t="n">
        <x:v>6.088</x:v>
      </x:c>
      <x:c r="Q20" s="32"/>
      <x:c r="R20" s="32"/>
      <x:c r="S20" s="32" t="n">
        <x:f>J20/J19</x:f>
        <x:v>0.2969191410215305</x:v>
      </x:c>
      <x:c r="T20" s="32" t="n">
        <x:f>K20/K19</x:f>
        <x:v>0.32105263157894737</x:v>
      </x:c>
      <x:c r="U20" s="32" t="n">
        <x:f>L20/L19</x:f>
        <x:v>0.29190751445086704</x:v>
      </x:c>
      <x:c r="V20" s="34" t="n">
        <x:f>ABS(T20-S20)*100</x:f>
        <x:v>2.413349055741687</x:v>
      </x:c>
      <x:c r="W20" s="34" t="n">
        <x:f>ABS(U20-S20)*100</x:f>
        <x:v>0.5011626570663452</x:v>
      </x:c>
      <x:c r="X20" t="str">
        <x:f>IF(AND(J20&gt;=M20,J20&lt;=N20),"是","否")</x:f>
        <x:v>是</x:v>
      </x:c>
      <x:c r="Y20" t="str">
        <x:f>IF(AND(J20&gt;=O20,J20&lt;=P20),"是","否")</x:f>
        <x:v>是</x:v>
      </x:c>
      <x:c r="Z20" s="36" t="n">
        <x:f>(N20-M20+IF(J20&lt;M20,10*(M20-J20),IF(J20&gt;N20,10*(J20-N20),0)))/ABS(J19)</x:f>
        <x:v>0.15262343621223978</x:v>
      </x:c>
      <x:c r="AA20" s="36" t="n">
        <x:f>(P20-O20+IF(J20&lt;O20,10*(O20-J20),IF(J20&gt;P20,10*(J20-P20),0)))/ABS(J19)</x:f>
        <x:v>0.11911513292353754</x:v>
      </x:c>
      <x:c r="AB20" t="str">
        <x:v>正确</x:v>
      </x:c>
      <x:c r="AC20" t="str">
        <x:v>正确</x:v>
      </x:c>
      <x:c r="AD20" t="str">
        <x:v>LRCX_FY2021_10K / LRCX_FY2022_10K / LRCX_FY2023_10K / LRCX_FY2024_10K</x:v>
      </x:c>
      <x:c r="AE20" t="str">
        <x:v>利润行方向栏为利润正负号</x:v>
      </x:c>
    </x:row>
    <x:row r="21" ht="24" customHeight="1">
      <x:c r="A21" t="str">
        <x:v>伪留出集</x:v>
      </x:c>
      <x:c r="B21" t="str">
        <x:v>LRCX@FY2021</x:v>
      </x:c>
      <x:c r="C21" t="str">
        <x:v>Lam Research</x:v>
      </x:c>
      <x:c r="D21" t="str">
        <x:v>wafer-fab-equipment</x:v>
      </x:c>
      <x:c r="E21" t="str">
        <x:v>FY2021</x:v>
      </x:c>
      <x:c r="F21" t="str">
        <x:v>FY2024</x:v>
      </x:c>
      <x:c r="G21" t="n">
        <x:v>3</x:v>
      </x:c>
      <x:c r="H21" t="str">
        <x:v>营业收入</x:v>
      </x:c>
      <x:c r="I21" t="str">
        <x:v>USD bn</x:v>
      </x:c>
      <x:c r="J21" s="77" t="n">
        <x:v>14.905386</x:v>
      </x:c>
      <x:c r="K21" s="81" t="n">
        <x:v>20.5</x:v>
      </x:c>
      <x:c r="L21" s="81" t="n">
        <x:v>15.5</x:v>
      </x:c>
      <x:c r="M21" s="81" t="n">
        <x:v>15.375</x:v>
      </x:c>
      <x:c r="N21" s="81" t="n">
        <x:v>25.625</x:v>
      </x:c>
      <x:c r="O21" s="81" t="n">
        <x:v>12.09</x:v>
      </x:c>
      <x:c r="P21" s="81" t="n">
        <x:v>18.91</x:v>
      </x:c>
      <x:c r="Q21" s="32" t="n">
        <x:f>ABS(K21-J21)/ABS(J21)</x:f>
        <x:v>0.37534177243044897</x:v>
      </x:c>
      <x:c r="R21" s="32" t="n">
        <x:f>ABS(L21-J21)/ABS(J21)</x:f>
        <x:v>0.03989255964253458</x:v>
      </x:c>
      <x:c r="S21" s="32"/>
      <x:c r="T21" s="32"/>
      <x:c r="U21" s="32"/>
      <x:c r="V21" s="34"/>
      <x:c r="W21" s="34"/>
      <x:c r="X21" t="str">
        <x:f>IF(AND(J21&gt;=M21,J21&lt;=N21),"是","否")</x:f>
        <x:v>否</x:v>
      </x:c>
      <x:c r="Y21" t="str">
        <x:f>IF(AND(J21&gt;=O21,J21&lt;=P21),"是","否")</x:f>
        <x:v>是</x:v>
      </x:c>
      <x:c r="Z21" s="36" t="n">
        <x:f>(N21-M21+IF(J21&lt;M21,10*(M21-J21),IF(J21&gt;N21,10*(J21-N21),0)))/ABS(J21)</x:f>
        <x:v>1.0027341794435918</x:v>
      </x:c>
      <x:c r="AA21" s="36" t="n">
        <x:f>(P21-O21+IF(J21&lt;O21,10*(O21-J21),IF(J21&gt;P21,10*(J21-P21),0)))/ABS(J21)</x:f>
        <x:v>0.45755272624271526</x:v>
      </x:c>
      <x:c r="AB21" t="str">
        <x:v>错误</x:v>
      </x:c>
      <x:c r="AC21" t="str">
        <x:v>正确</x:v>
      </x:c>
      <x:c r="AD21" t="str">
        <x:v>LRCX_FY2021_10K / LRCX_FY2022_10K / LRCX_FY2023_10K / LRCX_FY2024_10K</x:v>
      </x:c>
      <x:c r="AE21" t="str">
        <x:v>利润行方向栏为利润正负号</x:v>
      </x:c>
    </x:row>
    <x:row r="22" ht="24" customHeight="1">
      <x:c r="A22" t="str">
        <x:v>伪留出集</x:v>
      </x:c>
      <x:c r="B22" t="str">
        <x:v>LRCX@FY2021</x:v>
      </x:c>
      <x:c r="C22" t="str">
        <x:v>Lam Research</x:v>
      </x:c>
      <x:c r="D22" t="str">
        <x:v>wafer-fab-equipment</x:v>
      </x:c>
      <x:c r="E22" t="str">
        <x:v>FY2021</x:v>
      </x:c>
      <x:c r="F22" t="str">
        <x:v>FY2024</x:v>
      </x:c>
      <x:c r="G22" t="n">
        <x:v>3</x:v>
      </x:c>
      <x:c r="H22" t="str">
        <x:v>营业利润</x:v>
      </x:c>
      <x:c r="I22" t="str">
        <x:v>USD bn</x:v>
      </x:c>
      <x:c r="J22" s="77" t="n">
        <x:v>4.263913</x:v>
      </x:c>
      <x:c r="K22" s="81" t="n">
        <x:v>6.7</x:v>
      </x:c>
      <x:c r="L22" s="81" t="n">
        <x:v>4.4</x:v>
      </x:c>
      <x:c r="M22" s="81" t="n">
        <x:v>4.65</x:v>
      </x:c>
      <x:c r="N22" s="81" t="n">
        <x:v>8.75</x:v>
      </x:c>
      <x:c r="O22" s="81" t="n">
        <x:v>3.0825000000000005</x:v>
      </x:c>
      <x:c r="P22" s="81" t="n">
        <x:v>5.7175</x:v>
      </x:c>
      <x:c r="Q22" s="32"/>
      <x:c r="R22" s="32"/>
      <x:c r="S22" s="32" t="n">
        <x:f>J22/J21</x:f>
        <x:v>0.2860652518492309</x:v>
      </x:c>
      <x:c r="T22" s="32" t="n">
        <x:f>K22/K21</x:f>
        <x:v>0.32682926829268294</x:v>
      </x:c>
      <x:c r="U22" s="32" t="n">
        <x:f>L22/L21</x:f>
        <x:v>0.2838709677419355</x:v>
      </x:c>
      <x:c r="V22" s="34" t="n">
        <x:f>ABS(T22-S22)*100</x:f>
        <x:v>4.076401644345207</x:v>
      </x:c>
      <x:c r="W22" s="34" t="n">
        <x:f>ABS(U22-S22)*100</x:f>
        <x:v>0.21942841072953856</x:v>
      </x:c>
      <x:c r="X22" t="str">
        <x:f>IF(AND(J22&gt;=M22,J22&lt;=N22),"是","否")</x:f>
        <x:v>否</x:v>
      </x:c>
      <x:c r="Y22" t="str">
        <x:f>IF(AND(J22&gt;=O22,J22&lt;=P22),"是","否")</x:f>
        <x:v>是</x:v>
      </x:c>
      <x:c r="Z22" s="36" t="n">
        <x:f>(N22-M22+IF(J22&lt;M22,10*(M22-J22),IF(J22&gt;N22,10*(J22-N22),0)))/ABS(J21)</x:f>
        <x:v>0.5340935149213852</x:v>
      </x:c>
      <x:c r="AA22" s="36" t="n">
        <x:f>(P22-O22+IF(J22&lt;O22,10*(O22-J22),IF(J22&gt;P22,10*(J22-P22),0)))/ABS(J21)</x:f>
        <x:v>0.17678173513923087</x:v>
      </x:c>
      <x:c r="AB22" t="str">
        <x:v>正确</x:v>
      </x:c>
      <x:c r="AC22" t="str">
        <x:v>正确</x:v>
      </x:c>
      <x:c r="AD22" t="str">
        <x:v>LRCX_FY2021_10K / LRCX_FY2022_10K / LRCX_FY2023_10K / LRCX_FY2024_10K</x:v>
      </x:c>
      <x:c r="AE22" t="str">
        <x:v>利润行方向栏为利润正负号</x:v>
      </x:c>
    </x:row>
    <x:row r="23" ht="24" customHeight="1">
      <x:c r="A23" t="str">
        <x:v>伪留出集</x:v>
      </x:c>
      <x:c r="B23" t="str">
        <x:v>LRCX@FY2022</x:v>
      </x:c>
      <x:c r="C23" t="str">
        <x:v>Lam Research</x:v>
      </x:c>
      <x:c r="D23" t="str">
        <x:v>wafer-fab-equipment</x:v>
      </x:c>
      <x:c r="E23" t="str">
        <x:v>FY2022</x:v>
      </x:c>
      <x:c r="F23" t="str">
        <x:v>FY2023</x:v>
      </x:c>
      <x:c r="G23" t="n">
        <x:v>1</x:v>
      </x:c>
      <x:c r="H23" t="str">
        <x:v>营业收入</x:v>
      </x:c>
      <x:c r="I23" t="str">
        <x:v>USD bn</x:v>
      </x:c>
      <x:c r="J23" s="77" t="n">
        <x:v>17.428516</x:v>
      </x:c>
      <x:c r="K23" s="81" t="n">
        <x:v>18.2</x:v>
      </x:c>
      <x:c r="L23" s="81" t="n">
        <x:v>17</x:v>
      </x:c>
      <x:c r="M23" s="81" t="n">
        <x:v>16.38</x:v>
      </x:c>
      <x:c r="N23" s="81" t="n">
        <x:v>20.02</x:v>
      </x:c>
      <x:c r="O23" s="81" t="n">
        <x:v>15.64</x:v>
      </x:c>
      <x:c r="P23" s="81" t="n">
        <x:v>18.36</x:v>
      </x:c>
      <x:c r="Q23" s="32" t="n">
        <x:f>ABS(K23-J23)/ABS(J23)</x:f>
        <x:v>0.04426561618900892</x:v>
      </x:c>
      <x:c r="R23" s="32" t="n">
        <x:f>ABS(L23-J23)/ABS(J23)</x:f>
        <x:v>0.024587061801475144</x:v>
      </x:c>
      <x:c r="S23" s="32"/>
      <x:c r="T23" s="32"/>
      <x:c r="U23" s="32"/>
      <x:c r="V23" s="34"/>
      <x:c r="W23" s="34"/>
      <x:c r="X23" t="str">
        <x:f>IF(AND(J23&gt;=M23,J23&lt;=N23),"是","否")</x:f>
        <x:v>是</x:v>
      </x:c>
      <x:c r="Y23" t="str">
        <x:f>IF(AND(J23&gt;=O23,J23&lt;=P23),"是","否")</x:f>
        <x:v>是</x:v>
      </x:c>
      <x:c r="Z23" s="36" t="n">
        <x:f>(N23-M23+IF(J23&lt;M23,10*(M23-J23),IF(J23&gt;N23,10*(J23-N23),0)))/ABS(J23)</x:f>
        <x:v>0.20885312323780184</x:v>
      </x:c>
      <x:c r="AA23" s="36" t="n">
        <x:f>(P23-O23+IF(J23&lt;O23,10*(O23-J23),IF(J23&gt;P23,10*(J23-P23),0)))/ABS(J23)</x:f>
        <x:v>0.1560660701117639</x:v>
      </x:c>
      <x:c r="AB23" t="str">
        <x:v>正确</x:v>
      </x:c>
      <x:c r="AC23" t="str">
        <x:v>错误</x:v>
      </x:c>
      <x:c r="AD23" t="str">
        <x:v>LRCX_FY2022_10K / LRCX_FY2023_10K / LRCX_FY2024_10K / LRCX_FY2025_10K</x:v>
      </x:c>
      <x:c r="AE23" t="str">
        <x:v>利润行方向栏为利润正负号</x:v>
      </x:c>
    </x:row>
    <x:row r="24" ht="24" customHeight="1">
      <x:c r="A24" t="str">
        <x:v>伪留出集</x:v>
      </x:c>
      <x:c r="B24" t="str">
        <x:v>LRCX@FY2022</x:v>
      </x:c>
      <x:c r="C24" t="str">
        <x:v>Lam Research</x:v>
      </x:c>
      <x:c r="D24" t="str">
        <x:v>wafer-fab-equipment</x:v>
      </x:c>
      <x:c r="E24" t="str">
        <x:v>FY2022</x:v>
      </x:c>
      <x:c r="F24" t="str">
        <x:v>FY2023</x:v>
      </x:c>
      <x:c r="G24" t="n">
        <x:v>1</x:v>
      </x:c>
      <x:c r="H24" t="str">
        <x:v>营业利润</x:v>
      </x:c>
      <x:c r="I24" t="str">
        <x:v>USD bn</x:v>
      </x:c>
      <x:c r="J24" s="77" t="n">
        <x:v>5.17486</x:v>
      </x:c>
      <x:c r="K24" s="81" t="n">
        <x:v>5.6</x:v>
      </x:c>
      <x:c r="L24" s="81" t="n">
        <x:v>5</x:v>
      </x:c>
      <x:c r="M24" s="81" t="n">
        <x:v>4.872</x:v>
      </x:c>
      <x:c r="N24" s="81" t="n">
        <x:v>6.327999999999999</x:v>
      </x:c>
      <x:c r="O24" s="81" t="n">
        <x:v>4.405</x:v>
      </x:c>
      <x:c r="P24" s="81" t="n">
        <x:v>5.595</x:v>
      </x:c>
      <x:c r="Q24" s="32"/>
      <x:c r="R24" s="32"/>
      <x:c r="S24" s="32" t="n">
        <x:f>J24/J23</x:f>
        <x:v>0.2969191410215305</x:v>
      </x:c>
      <x:c r="T24" s="32" t="n">
        <x:f>K24/K23</x:f>
        <x:v>0.3076923076923077</x:v>
      </x:c>
      <x:c r="U24" s="32" t="n">
        <x:f>L24/L23</x:f>
        <x:v>0.29411764705882354</x:v>
      </x:c>
      <x:c r="V24" s="34" t="n">
        <x:f>ABS(T24-S24)*100</x:f>
        <x:v>1.0773166670777212</x:v>
      </x:c>
      <x:c r="W24" s="34" t="n">
        <x:f>ABS(U24-S24)*100</x:f>
        <x:v>0.2801493962706958</x:v>
      </x:c>
      <x:c r="X24" t="str">
        <x:f>IF(AND(J24&gt;=M24,J24&lt;=N24),"是","否")</x:f>
        <x:v>是</x:v>
      </x:c>
      <x:c r="Y24" t="str">
        <x:f>IF(AND(J24&gt;=O24,J24&lt;=P24),"是","否")</x:f>
        <x:v>是</x:v>
      </x:c>
      <x:c r="Z24" s="36" t="n">
        <x:f>(N24-M24+IF(J24&lt;M24,10*(M24-J24),IF(J24&gt;N24,10*(J24-N24),0)))/ABS(J23)</x:f>
        <x:v>0.08354124929512069</x:v>
      </x:c>
      <x:c r="AA24" s="36" t="n">
        <x:f>(P24-O24+IF(J24&lt;O24,10*(O24-J24),IF(J24&gt;P24,10*(J24-P24),0)))/ABS(J23)</x:f>
        <x:v>0.06827890567389672</x:v>
      </x:c>
      <x:c r="AB24" t="str">
        <x:v>正确</x:v>
      </x:c>
      <x:c r="AC24" t="str">
        <x:v>正确</x:v>
      </x:c>
      <x:c r="AD24" t="str">
        <x:v>LRCX_FY2022_10K / LRCX_FY2023_10K / LRCX_FY2024_10K / LRCX_FY2025_10K</x:v>
      </x:c>
      <x:c r="AE24" t="str">
        <x:v>利润行方向栏为利润正负号</x:v>
      </x:c>
    </x:row>
    <x:row r="25" ht="24" customHeight="1">
      <x:c r="A25" t="str">
        <x:v>伪留出集</x:v>
      </x:c>
      <x:c r="B25" t="str">
        <x:v>LRCX@FY2022</x:v>
      </x:c>
      <x:c r="C25" t="str">
        <x:v>Lam Research</x:v>
      </x:c>
      <x:c r="D25" t="str">
        <x:v>wafer-fab-equipment</x:v>
      </x:c>
      <x:c r="E25" t="str">
        <x:v>FY2022</x:v>
      </x:c>
      <x:c r="F25" t="str">
        <x:v>FY2024</x:v>
      </x:c>
      <x:c r="G25" t="n">
        <x:v>2</x:v>
      </x:c>
      <x:c r="H25" t="str">
        <x:v>营业收入</x:v>
      </x:c>
      <x:c r="I25" t="str">
        <x:v>USD bn</x:v>
      </x:c>
      <x:c r="J25" s="77" t="n">
        <x:v>14.905386</x:v>
      </x:c>
      <x:c r="K25" s="81" t="n">
        <x:v>19</x:v>
      </x:c>
      <x:c r="L25" s="81" t="n">
        <x:v>15.8</x:v>
      </x:c>
      <x:c r="M25" s="81" t="n">
        <x:v>15.580000000000002</x:v>
      </x:c>
      <x:c r="N25" s="81" t="n">
        <x:v>22.419999999999998</x:v>
      </x:c>
      <x:c r="O25" s="81" t="n">
        <x:v>13.43</x:v>
      </x:c>
      <x:c r="P25" s="81" t="n">
        <x:v>18.169999999999998</x:v>
      </x:c>
      <x:c r="Q25" s="32" t="n">
        <x:f>ABS(K25-J25)/ABS(J25)</x:f>
        <x:v>0.27470700859407465</x:v>
      </x:c>
      <x:c r="R25" s="32" t="n">
        <x:f>ABS(L25-J25)/ABS(J25)</x:f>
        <x:v>0.060019512409809496</x:v>
      </x:c>
      <x:c r="S25" s="32"/>
      <x:c r="T25" s="32"/>
      <x:c r="U25" s="32"/>
      <x:c r="V25" s="34"/>
      <x:c r="W25" s="34"/>
      <x:c r="X25" t="str">
        <x:f>IF(AND(J25&gt;=M25,J25&lt;=N25),"是","否")</x:f>
        <x:v>否</x:v>
      </x:c>
      <x:c r="Y25" t="str">
        <x:f>IF(AND(J25&gt;=O25,J25&lt;=P25),"是","否")</x:f>
        <x:v>是</x:v>
      </x:c>
      <x:c r="Z25" s="36" t="n">
        <x:f>(N25-M25+IF(J25&lt;M25,10*(M25-J25),IF(J25&gt;N25,10*(J25-N25),0)))/ABS(J25)</x:f>
        <x:v>0.91149199356528</x:v>
      </x:c>
      <x:c r="AA25" s="36" t="n">
        <x:f>(P25-O25+IF(J25&lt;O25,10*(O25-J25),IF(J25&gt;P25,10*(J25-P25),0)))/ABS(J25)</x:f>
        <x:v>0.3180058537229427</x:v>
      </x:c>
      <x:c r="AB25" t="str">
        <x:v>错误</x:v>
      </x:c>
      <x:c r="AC25" t="str">
        <x:v>正确</x:v>
      </x:c>
      <x:c r="AD25" t="str">
        <x:v>LRCX_FY2022_10K / LRCX_FY2023_10K / LRCX_FY2024_10K / LRCX_FY2025_10K</x:v>
      </x:c>
      <x:c r="AE25" t="str">
        <x:v>利润行方向栏为利润正负号</x:v>
      </x:c>
    </x:row>
    <x:row r="26" ht="24" customHeight="1">
      <x:c r="A26" t="str">
        <x:v>伪留出集</x:v>
      </x:c>
      <x:c r="B26" t="str">
        <x:v>LRCX@FY2022</x:v>
      </x:c>
      <x:c r="C26" t="str">
        <x:v>Lam Research</x:v>
      </x:c>
      <x:c r="D26" t="str">
        <x:v>wafer-fab-equipment</x:v>
      </x:c>
      <x:c r="E26" t="str">
        <x:v>FY2022</x:v>
      </x:c>
      <x:c r="F26" t="str">
        <x:v>FY2024</x:v>
      </x:c>
      <x:c r="G26" t="n">
        <x:v>2</x:v>
      </x:c>
      <x:c r="H26" t="str">
        <x:v>营业利润</x:v>
      </x:c>
      <x:c r="I26" t="str">
        <x:v>USD bn</x:v>
      </x:c>
      <x:c r="J26" s="77" t="n">
        <x:v>4.263913</x:v>
      </x:c>
      <x:c r="K26" s="81" t="n">
        <x:v>5.8</x:v>
      </x:c>
      <x:c r="L26" s="81" t="n">
        <x:v>4.5</x:v>
      </x:c>
      <x:c r="M26" s="81" t="n">
        <x:v>4.47</x:v>
      </x:c>
      <x:c r="N26" s="81" t="n">
        <x:v>7.13</x:v>
      </x:c>
      <x:c r="O26" s="81" t="n">
        <x:v>3.552</x:v>
      </x:c>
      <x:c r="P26" s="81" t="n">
        <x:v>5.448</x:v>
      </x:c>
      <x:c r="Q26" s="32"/>
      <x:c r="R26" s="32"/>
      <x:c r="S26" s="32" t="n">
        <x:f>J26/J25</x:f>
        <x:v>0.2860652518492309</x:v>
      </x:c>
      <x:c r="T26" s="32" t="n">
        <x:f>K26/K25</x:f>
        <x:v>0.30526315789473685</x:v>
      </x:c>
      <x:c r="U26" s="32" t="n">
        <x:f>L26/L25</x:f>
        <x:v>0.28481012658227844</x:v>
      </x:c>
      <x:c r="V26" s="34" t="n">
        <x:f>ABS(T26-S26)*100</x:f>
        <x:v>1.9197906045505975</x:v>
      </x:c>
      <x:c r="W26" s="34" t="n">
        <x:f>ABS(U26-S26)*100</x:f>
        <x:v>0.12551252669524282</x:v>
      </x:c>
      <x:c r="X26" t="str">
        <x:f>IF(AND(J26&gt;=M26,J26&lt;=N26),"是","否")</x:f>
        <x:v>否</x:v>
      </x:c>
      <x:c r="Y26" t="str">
        <x:f>IF(AND(J26&gt;=O26,J26&lt;=P26),"是","否")</x:f>
        <x:v>是</x:v>
      </x:c>
      <x:c r="Z26" s="36" t="n">
        <x:f>(N26-M26+IF(J26&lt;M26,10*(M26-J26),IF(J26&gt;N26,10*(J26-N26),0)))/ABS(J25)</x:f>
        <x:v>0.31672242503481635</x:v>
      </x:c>
      <x:c r="AA26" s="36" t="n">
        <x:f>(P26-O26+IF(J26&lt;O26,10*(O26-J26),IF(J26&gt;P26,10*(J26-P26),0)))/ABS(J25)</x:f>
        <x:v>0.12720234148917717</x:v>
      </x:c>
      <x:c r="AB26" t="str">
        <x:v>正确</x:v>
      </x:c>
      <x:c r="AC26" t="str">
        <x:v>正确</x:v>
      </x:c>
      <x:c r="AD26" t="str">
        <x:v>LRCX_FY2022_10K / LRCX_FY2023_10K / LRCX_FY2024_10K / LRCX_FY2025_10K</x:v>
      </x:c>
      <x:c r="AE26" t="str">
        <x:v>利润行方向栏为利润正负号</x:v>
      </x:c>
    </x:row>
    <x:row r="27" ht="24" customHeight="1">
      <x:c r="A27" t="str">
        <x:v>伪留出集</x:v>
      </x:c>
      <x:c r="B27" t="str">
        <x:v>LRCX@FY2022</x:v>
      </x:c>
      <x:c r="C27" t="str">
        <x:v>Lam Research</x:v>
      </x:c>
      <x:c r="D27" t="str">
        <x:v>wafer-fab-equipment</x:v>
      </x:c>
      <x:c r="E27" t="str">
        <x:v>FY2022</x:v>
      </x:c>
      <x:c r="F27" t="str">
        <x:v>FY2025</x:v>
      </x:c>
      <x:c r="G27" t="n">
        <x:v>3</x:v>
      </x:c>
      <x:c r="H27" t="str">
        <x:v>营业收入</x:v>
      </x:c>
      <x:c r="I27" t="str">
        <x:v>USD bn</x:v>
      </x:c>
      <x:c r="J27" s="77" t="n">
        <x:v>18.435591</x:v>
      </x:c>
      <x:c r="K27" s="81" t="n">
        <x:v>20</x:v>
      </x:c>
      <x:c r="L27" s="81" t="n">
        <x:v>17.5</x:v>
      </x:c>
      <x:c r="M27" s="81" t="n">
        <x:v>15</x:v>
      </x:c>
      <x:c r="N27" s="81" t="n">
        <x:v>25</x:v>
      </x:c>
      <x:c r="O27" s="81" t="n">
        <x:v>13.65</x:v>
      </x:c>
      <x:c r="P27" s="81" t="n">
        <x:v>21.349999999999998</x:v>
      </x:c>
      <x:c r="Q27" s="32" t="n">
        <x:f>ABS(K27-J27)/ABS(J27)</x:f>
        <x:v>0.08485808781503133</x:v>
      </x:c>
      <x:c r="R27" s="32" t="n">
        <x:f>ABS(L27-J27)/ABS(J27)</x:f>
        <x:v>0.05074917316184758</x:v>
      </x:c>
      <x:c r="S27" s="32"/>
      <x:c r="T27" s="32"/>
      <x:c r="U27" s="32"/>
      <x:c r="V27" s="34"/>
      <x:c r="W27" s="34"/>
      <x:c r="X27" t="str">
        <x:f>IF(AND(J27&gt;=M27,J27&lt;=N27),"是","否")</x:f>
        <x:v>是</x:v>
      </x:c>
      <x:c r="Y27" t="str">
        <x:f>IF(AND(J27&gt;=O27,J27&lt;=P27),"是","否")</x:f>
        <x:v>是</x:v>
      </x:c>
      <x:c r="Z27" s="36" t="n">
        <x:f>(N27-M27+IF(J27&lt;M27,10*(M27-J27),IF(J27&gt;N27,10*(J27-N27),0)))/ABS(J27)</x:f>
        <x:v>0.5424290439075157</x:v>
      </x:c>
      <x:c r="AA27" s="36" t="n">
        <x:f>(P27-O27+IF(J27&lt;O27,10*(O27-J27),IF(J27&gt;P27,10*(J27-P27),0)))/ABS(J27)</x:f>
        <x:v>0.4176703638087869</x:v>
      </x:c>
      <x:c r="AB27" t="str">
        <x:v>正确</x:v>
      </x:c>
      <x:c r="AC27" t="str">
        <x:v>正确</x:v>
      </x:c>
      <x:c r="AD27" t="str">
        <x:v>LRCX_FY2022_10K / LRCX_FY2023_10K / LRCX_FY2024_10K / LRCX_FY2025_10K</x:v>
      </x:c>
      <x:c r="AE27" t="str">
        <x:v>利润行方向栏为利润正负号</x:v>
      </x:c>
    </x:row>
    <x:row r="28" ht="24" customHeight="1">
      <x:c r="A28" t="str">
        <x:v>伪留出集</x:v>
      </x:c>
      <x:c r="B28" t="str">
        <x:v>LRCX@FY2022</x:v>
      </x:c>
      <x:c r="C28" t="str">
        <x:v>Lam Research</x:v>
      </x:c>
      <x:c r="D28" t="str">
        <x:v>wafer-fab-equipment</x:v>
      </x:c>
      <x:c r="E28" t="str">
        <x:v>FY2022</x:v>
      </x:c>
      <x:c r="F28" t="str">
        <x:v>FY2025</x:v>
      </x:c>
      <x:c r="G28" t="n">
        <x:v>3</x:v>
      </x:c>
      <x:c r="H28" t="str">
        <x:v>营业利润</x:v>
      </x:c>
      <x:c r="I28" t="str">
        <x:v>USD bn</x:v>
      </x:c>
      <x:c r="J28" s="77" t="n">
        <x:v>5.900968</x:v>
      </x:c>
      <x:c r="K28" s="81" t="n">
        <x:v>6.1</x:v>
      </x:c>
      <x:c r="L28" s="81" t="n">
        <x:v>5.4</x:v>
      </x:c>
      <x:c r="M28" s="81" t="n">
        <x:v>4.1</x:v>
      </x:c>
      <x:c r="N28" s="81" t="n">
        <x:v>8.1</x:v>
      </x:c>
      <x:c r="O28" s="81" t="n">
        <x:v>3.9125000000000005</x:v>
      </x:c>
      <x:c r="P28" s="81" t="n">
        <x:v>6.8875</x:v>
      </x:c>
      <x:c r="Q28" s="32"/>
      <x:c r="R28" s="32"/>
      <x:c r="S28" s="32" t="n">
        <x:f>J28/J27</x:f>
        <x:v>0.32008564303688447</x:v>
      </x:c>
      <x:c r="T28" s="32" t="n">
        <x:f>K28/K27</x:f>
        <x:v>0.305</x:v>
      </x:c>
      <x:c r="U28" s="32" t="n">
        <x:f>L28/L27</x:f>
        <x:v>0.3085714285714286</x:v>
      </x:c>
      <x:c r="V28" s="34" t="n">
        <x:f>ABS(T28-S28)*100</x:f>
        <x:v>1.5085643036884477</x:v>
      </x:c>
      <x:c r="W28" s="34" t="n">
        <x:f>ABS(U28-S28)*100</x:f>
        <x:v>1.1514214465455863</x:v>
      </x:c>
      <x:c r="X28" t="str">
        <x:f>IF(AND(J28&gt;=M28,J28&lt;=N28),"是","否")</x:f>
        <x:v>是</x:v>
      </x:c>
      <x:c r="Y28" t="str">
        <x:f>IF(AND(J28&gt;=O28,J28&lt;=P28),"是","否")</x:f>
        <x:v>是</x:v>
      </x:c>
      <x:c r="Z28" s="36" t="n">
        <x:f>(N28-M28+IF(J28&lt;M28,10*(M28-J28),IF(J28&gt;N28,10*(J28-N28),0)))/ABS(J27)</x:f>
        <x:v>0.21697161756300626</x:v>
      </x:c>
      <x:c r="AA28" s="36" t="n">
        <x:f>(P28-O28+IF(J28&lt;O28,10*(O28-J28),IF(J28&gt;P28,10*(J28-P28),0)))/ABS(J27)</x:f>
        <x:v>0.1613726405624859</x:v>
      </x:c>
      <x:c r="AB28" t="str">
        <x:v>正确</x:v>
      </x:c>
      <x:c r="AC28" t="str">
        <x:v>正确</x:v>
      </x:c>
      <x:c r="AD28" t="str">
        <x:v>LRCX_FY2022_10K / LRCX_FY2023_10K / LRCX_FY2024_10K / LRCX_FY2025_10K</x:v>
      </x:c>
      <x:c r="AE28" t="str">
        <x:v>利润行方向栏为利润正负号</x:v>
      </x:c>
    </x:row>
    <x:row r="29" ht="24" customHeight="1">
      <x:c r="A29" t="str">
        <x:v>伪留出集</x:v>
      </x:c>
      <x:c r="B29" t="str">
        <x:v>KLA@FY2021</x:v>
      </x:c>
      <x:c r="C29" t="str">
        <x:v>KLA</x:v>
      </x:c>
      <x:c r="D29" t="str">
        <x:v>process-control</x:v>
      </x:c>
      <x:c r="E29" t="str">
        <x:v>FY2021</x:v>
      </x:c>
      <x:c r="F29" t="str">
        <x:v>FY2022</x:v>
      </x:c>
      <x:c r="G29" t="n">
        <x:v>1</x:v>
      </x:c>
      <x:c r="H29" t="str">
        <x:v>营业收入</x:v>
      </x:c>
      <x:c r="I29" t="str">
        <x:v>USD bn</x:v>
      </x:c>
      <x:c r="J29" s="77" t="n">
        <x:v>9.211883</x:v>
      </x:c>
      <x:c r="K29" s="81" t="n">
        <x:v>8.2</x:v>
      </x:c>
      <x:c r="L29" s="81" t="n">
        <x:v>8.8</x:v>
      </x:c>
      <x:c r="M29" s="81" t="n">
        <x:v>7.38</x:v>
      </x:c>
      <x:c r="N29" s="81" t="n">
        <x:v>9.02</x:v>
      </x:c>
      <x:c r="O29" s="81" t="n">
        <x:v>8.096000000000002</x:v>
      </x:c>
      <x:c r="P29" s="81" t="n">
        <x:v>9.504000000000001</x:v>
      </x:c>
      <x:c r="Q29" s="32" t="n">
        <x:f>ABS(K29-J29)/ABS(J29)</x:f>
        <x:v>0.10984540294313344</x:v>
      </x:c>
      <x:c r="R29" s="32" t="n">
        <x:f>ABS(L29-J29)/ABS(J29)</x:f>
        <x:v>0.04471213974385037</x:v>
      </x:c>
      <x:c r="S29" s="32"/>
      <x:c r="T29" s="32"/>
      <x:c r="U29" s="32"/>
      <x:c r="V29" s="34"/>
      <x:c r="W29" s="34"/>
      <x:c r="X29" t="str">
        <x:f>IF(AND(J29&gt;=M29,J29&lt;=N29),"是","否")</x:f>
        <x:v>否</x:v>
      </x:c>
      <x:c r="Y29" t="str">
        <x:f>IF(AND(J29&gt;=O29,J29&lt;=P29),"是","否")</x:f>
        <x:v>是</x:v>
      </x:c>
      <x:c r="Z29" s="36" t="n">
        <x:f>(N29-M29+IF(J29&lt;M29,10*(M29-J29),IF(J29&gt;N29,10*(J29-N29),0)))/ABS(J29)</x:f>
        <x:v>0.3863303517858408</x:v>
      </x:c>
      <x:c r="AA29" s="36" t="n">
        <x:f>(P29-O29+IF(J29&lt;O29,10*(O29-J29),IF(J29&gt;P29,10*(J29-P29),0)))/ABS(J29)</x:f>
        <x:v>0.15284605764098388</x:v>
      </x:c>
      <x:c r="AB29" t="str">
        <x:v>正确</x:v>
      </x:c>
      <x:c r="AC29" t="str">
        <x:v>正确</x:v>
      </x:c>
      <x:c r="AD29" t="str">
        <x:v>KLA_FY2021_10K / KLA_FY2022_10K / KLA_FY2023_10K / KLA_FY2024_10K</x:v>
      </x:c>
      <x:c r="AE29" t="str">
        <x:v>利润行方向栏为利润正负号</x:v>
      </x:c>
    </x:row>
    <x:row r="30" ht="24" customHeight="1">
      <x:c r="A30" t="str">
        <x:v>伪留出集</x:v>
      </x:c>
      <x:c r="B30" t="str">
        <x:v>KLA@FY2021</x:v>
      </x:c>
      <x:c r="C30" t="str">
        <x:v>KLA</x:v>
      </x:c>
      <x:c r="D30" t="str">
        <x:v>process-control</x:v>
      </x:c>
      <x:c r="E30" t="str">
        <x:v>FY2021</x:v>
      </x:c>
      <x:c r="F30" t="str">
        <x:v>FY2022</x:v>
      </x:c>
      <x:c r="G30" t="n">
        <x:v>1</x:v>
      </x:c>
      <x:c r="H30" t="str">
        <x:v>净利润</x:v>
      </x:c>
      <x:c r="I30" t="str">
        <x:v>USD bn</x:v>
      </x:c>
      <x:c r="J30" s="77" t="n">
        <x:v>3.321807</x:v>
      </x:c>
      <x:c r="K30" s="81" t="n">
        <x:v>2.6</x:v>
      </x:c>
      <x:c r="L30" s="81" t="n">
        <x:v>3</x:v>
      </x:c>
      <x:c r="M30" s="81" t="n">
        <x:v>2.2720000000000002</x:v>
      </x:c>
      <x:c r="N30" s="81" t="n">
        <x:v>2.928</x:v>
      </x:c>
      <x:c r="O30" s="81" t="n">
        <x:v>2.7359999999999998</x:v>
      </x:c>
      <x:c r="P30" s="81" t="n">
        <x:v>3.2640000000000002</x:v>
      </x:c>
      <x:c r="Q30" s="32"/>
      <x:c r="R30" s="32"/>
      <x:c r="S30" s="32" t="n">
        <x:f>J30/J29</x:f>
        <x:v>0.360600216047034</x:v>
      </x:c>
      <x:c r="T30" s="32" t="n">
        <x:f>K30/K29</x:f>
        <x:v>0.3170731707317074</x:v>
      </x:c>
      <x:c r="U30" s="32" t="n">
        <x:f>L30/L29</x:f>
        <x:v>0.3409090909090909</x:v>
      </x:c>
      <x:c r="V30" s="34" t="n">
        <x:f>ABS(T30-S30)*100</x:f>
        <x:v>4.352704531532664</x:v>
      </x:c>
      <x:c r="W30" s="34" t="n">
        <x:f>ABS(U30-S30)*100</x:f>
        <x:v>1.9691125137943133</x:v>
      </x:c>
      <x:c r="X30" t="str">
        <x:f>IF(AND(J30&gt;=M30,J30&lt;=N30),"是","否")</x:f>
        <x:v>否</x:v>
      </x:c>
      <x:c r="Y30" t="str">
        <x:f>IF(AND(J30&gt;=O30,J30&lt;=P30),"是","否")</x:f>
        <x:v>否</x:v>
      </x:c>
      <x:c r="Z30" s="36" t="n">
        <x:f>(N30-M30+IF(J30&lt;M30,10*(M30-J30),IF(J30&gt;N30,10*(J30-N30),0)))/ABS(J29)</x:f>
        <x:v>0.4987112841098831</x:v>
      </x:c>
      <x:c r="AA30" s="36" t="n">
        <x:f>(P30-O30+IF(J30&lt;O30,10*(O30-J30),IF(J30&gt;P30,10*(J30-P30),0)))/ABS(J29)</x:f>
        <x:v>0.12006991404471809</x:v>
      </x:c>
      <x:c r="AB30" t="str">
        <x:v>正确</x:v>
      </x:c>
      <x:c r="AC30" t="str">
        <x:v>正确</x:v>
      </x:c>
      <x:c r="AD30" t="str">
        <x:v>KLA_FY2021_10K / KLA_FY2022_10K / KLA_FY2023_10K / KLA_FY2024_10K</x:v>
      </x:c>
      <x:c r="AE30" t="str">
        <x:v>利润行方向栏为利润正负号</x:v>
      </x:c>
    </x:row>
    <x:row r="31" ht="24" customHeight="1">
      <x:c r="A31" t="str">
        <x:v>伪留出集</x:v>
      </x:c>
      <x:c r="B31" t="str">
        <x:v>KLA@FY2021</x:v>
      </x:c>
      <x:c r="C31" t="str">
        <x:v>KLA</x:v>
      </x:c>
      <x:c r="D31" t="str">
        <x:v>process-control</x:v>
      </x:c>
      <x:c r="E31" t="str">
        <x:v>FY2021</x:v>
      </x:c>
      <x:c r="F31" t="str">
        <x:v>FY2023</x:v>
      </x:c>
      <x:c r="G31" t="n">
        <x:v>2</x:v>
      </x:c>
      <x:c r="H31" t="str">
        <x:v>营业收入</x:v>
      </x:c>
      <x:c r="I31" t="str">
        <x:v>USD bn</x:v>
      </x:c>
      <x:c r="J31" s="77" t="n">
        <x:v>10.496056</x:v>
      </x:c>
      <x:c r="K31" s="81" t="n">
        <x:v>9</x:v>
      </x:c>
      <x:c r="L31" s="81" t="n">
        <x:v>10</x:v>
      </x:c>
      <x:c r="M31" s="81" t="n">
        <x:v>7.380000000000001</x:v>
      </x:c>
      <x:c r="N31" s="81" t="n">
        <x:v>10.62</x:v>
      </x:c>
      <x:c r="O31" s="81" t="n">
        <x:v>8.6</x:v>
      </x:c>
      <x:c r="P31" s="81" t="n">
        <x:v>11.400000000000002</x:v>
      </x:c>
      <x:c r="Q31" s="32" t="n">
        <x:f>ABS(K31-J31)/ABS(J31)</x:f>
        <x:v>0.14253506269402522</x:v>
      </x:c>
      <x:c r="R31" s="32" t="n">
        <x:f>ABS(L31-J31)/ABS(J31)</x:f>
        <x:v>0.047261180771139125</x:v>
      </x:c>
      <x:c r="S31" s="32"/>
      <x:c r="T31" s="32"/>
      <x:c r="U31" s="32"/>
      <x:c r="V31" s="34"/>
      <x:c r="W31" s="34"/>
      <x:c r="X31" t="str">
        <x:f>IF(AND(J31&gt;=M31,J31&lt;=N31),"是","否")</x:f>
        <x:v>是</x:v>
      </x:c>
      <x:c r="Y31" t="str">
        <x:f>IF(AND(J31&gt;=O31,J31&lt;=P31),"是","否")</x:f>
        <x:v>是</x:v>
      </x:c>
      <x:c r="Z31" s="36" t="n">
        <x:f>(N31-M31+IF(J31&lt;M31,10*(M31-J31),IF(J31&gt;N31,10*(J31-N31),0)))/ABS(J31)</x:f>
        <x:v>0.3086873774301508</x:v>
      </x:c>
      <x:c r="AA31" s="36" t="n">
        <x:f>(P31-O31+IF(J31&lt;O31,10*(O31-J31),IF(J31&gt;P31,10*(J31-P31),0)))/ABS(J31)</x:f>
        <x:v>0.2667668693840813</x:v>
      </x:c>
      <x:c r="AB31" t="str">
        <x:v>正确</x:v>
      </x:c>
      <x:c r="AC31" t="str">
        <x:v>正确</x:v>
      </x:c>
      <x:c r="AD31" t="str">
        <x:v>KLA_FY2021_10K / KLA_FY2022_10K / KLA_FY2023_10K / KLA_FY2024_10K</x:v>
      </x:c>
      <x:c r="AE31" t="str">
        <x:v>利润行方向栏为利润正负号</x:v>
      </x:c>
    </x:row>
    <x:row r="32" ht="24" customHeight="1">
      <x:c r="A32" t="str">
        <x:v>伪留出集</x:v>
      </x:c>
      <x:c r="B32" t="str">
        <x:v>KLA@FY2021</x:v>
      </x:c>
      <x:c r="C32" t="str">
        <x:v>KLA</x:v>
      </x:c>
      <x:c r="D32" t="str">
        <x:v>process-control</x:v>
      </x:c>
      <x:c r="E32" t="str">
        <x:v>FY2021</x:v>
      </x:c>
      <x:c r="F32" t="str">
        <x:v>FY2023</x:v>
      </x:c>
      <x:c r="G32" t="n">
        <x:v>2</x:v>
      </x:c>
      <x:c r="H32" t="str">
        <x:v>净利润</x:v>
      </x:c>
      <x:c r="I32" t="str">
        <x:v>USD bn</x:v>
      </x:c>
      <x:c r="J32" s="77" t="n">
        <x:v>3.387277</x:v>
      </x:c>
      <x:c r="K32" s="81" t="n">
        <x:v>2.85</x:v>
      </x:c>
      <x:c r="L32" s="81" t="n">
        <x:v>3.2</x:v>
      </x:c>
      <x:c r="M32" s="81" t="n">
        <x:v>2.2199999999999998</x:v>
      </x:c>
      <x:c r="N32" s="81" t="n">
        <x:v>3.4800000000000004</x:v>
      </x:c>
      <x:c r="O32" s="81" t="n">
        <x:v>2.7</x:v>
      </x:c>
      <x:c r="P32" s="81" t="n">
        <x:v>3.7</x:v>
      </x:c>
      <x:c r="Q32" s="32"/>
      <x:c r="R32" s="32"/>
      <x:c r="S32" s="32" t="n">
        <x:f>J32/J31</x:f>
        <x:v>0.32271902893810783</x:v>
      </x:c>
      <x:c r="T32" s="32" t="n">
        <x:f>K32/K31</x:f>
        <x:v>0.31666666666666665</x:v>
      </x:c>
      <x:c r="U32" s="32" t="n">
        <x:f>L32/L31</x:f>
        <x:v>0.32</x:v>
      </x:c>
      <x:c r="V32" s="34" t="n">
        <x:f>ABS(T32-S32)*100</x:f>
        <x:v>0.6052362271441181</x:v>
      </x:c>
      <x:c r="W32" s="34" t="n">
        <x:f>ABS(U32-S32)*100</x:f>
        <x:v>0.2719028938107826</x:v>
      </x:c>
      <x:c r="X32" t="str">
        <x:f>IF(AND(J32&gt;=M32,J32&lt;=N32),"是","否")</x:f>
        <x:v>是</x:v>
      </x:c>
      <x:c r="Y32" t="str">
        <x:f>IF(AND(J32&gt;=O32,J32&lt;=P32),"是","否")</x:f>
        <x:v>是</x:v>
      </x:c>
      <x:c r="Z32" s="36" t="n">
        <x:f>(N32-M32+IF(J32&lt;M32,10*(M32-J32),IF(J32&gt;N32,10*(J32-N32),0)))/ABS(J31)</x:f>
        <x:v>0.12004509122283653</x:v>
      </x:c>
      <x:c r="AA32" s="36" t="n">
        <x:f>(P32-O32+IF(J32&lt;O32,10*(O32-J32),IF(J32&gt;P32,10*(J32-P32),0)))/ABS(J31)</x:f>
        <x:v>0.09527388192288609</x:v>
      </x:c>
      <x:c r="AB32" t="str">
        <x:v>正确</x:v>
      </x:c>
      <x:c r="AC32" t="str">
        <x:v>正确</x:v>
      </x:c>
      <x:c r="AD32" t="str">
        <x:v>KLA_FY2021_10K / KLA_FY2022_10K / KLA_FY2023_10K / KLA_FY2024_10K</x:v>
      </x:c>
      <x:c r="AE32" t="str">
        <x:v>利润行方向栏为利润正负号</x:v>
      </x:c>
    </x:row>
    <x:row r="33" ht="24" customHeight="1">
      <x:c r="A33" t="str">
        <x:v>伪留出集</x:v>
      </x:c>
      <x:c r="B33" t="str">
        <x:v>KLA@FY2021</x:v>
      </x:c>
      <x:c r="C33" t="str">
        <x:v>KLA</x:v>
      </x:c>
      <x:c r="D33" t="str">
        <x:v>process-control</x:v>
      </x:c>
      <x:c r="E33" t="str">
        <x:v>FY2021</x:v>
      </x:c>
      <x:c r="F33" t="str">
        <x:v>FY2024</x:v>
      </x:c>
      <x:c r="G33" t="n">
        <x:v>3</x:v>
      </x:c>
      <x:c r="H33" t="str">
        <x:v>营业收入</x:v>
      </x:c>
      <x:c r="I33" t="str">
        <x:v>USD bn</x:v>
      </x:c>
      <x:c r="J33" s="77" t="n">
        <x:v>9.812247</x:v>
      </x:c>
      <x:c r="K33" s="81" t="n">
        <x:v>9.7</x:v>
      </x:c>
      <x:c r="L33" s="81" t="n">
        <x:v>9.5</x:v>
      </x:c>
      <x:c r="M33" s="81" t="n">
        <x:v>7.2749999999999995</x:v>
      </x:c>
      <x:c r="N33" s="81" t="n">
        <x:v>12.125</x:v>
      </x:c>
      <x:c r="O33" s="81" t="n">
        <x:v>7.6000000000000005</x:v>
      </x:c>
      <x:c r="P33" s="81" t="n">
        <x:v>11.4</x:v>
      </x:c>
      <x:c r="Q33" s="32" t="n">
        <x:f>ABS(K33-J33)/ABS(J33)</x:f>
        <x:v>0.011439479662507477</x:v>
      </x:c>
      <x:c r="R33" s="32" t="n">
        <x:f>ABS(L33-J33)/ABS(J33)</x:f>
        <x:v>0.031822170803486635</x:v>
      </x:c>
      <x:c r="S33" s="32"/>
      <x:c r="T33" s="32"/>
      <x:c r="U33" s="32"/>
      <x:c r="V33" s="34"/>
      <x:c r="W33" s="34"/>
      <x:c r="X33" t="str">
        <x:f>IF(AND(J33&gt;=M33,J33&lt;=N33),"是","否")</x:f>
        <x:v>是</x:v>
      </x:c>
      <x:c r="Y33" t="str">
        <x:f>IF(AND(J33&gt;=O33,J33&lt;=P33),"是","否")</x:f>
        <x:v>是</x:v>
      </x:c>
      <x:c r="Z33" s="36" t="n">
        <x:f>(N33-M33+IF(J33&lt;M33,10*(M33-J33),IF(J33&gt;N33,10*(J33-N33),0)))/ABS(J33)</x:f>
        <x:v>0.4942802601687464</x:v>
      </x:c>
      <x:c r="AA33" s="36" t="n">
        <x:f>(P33-O33+IF(J33&lt;O33,10*(O33-J33),IF(J33&gt;P33,10*(J33-P33),0)))/ABS(J33)</x:f>
        <x:v>0.38727113167860533</x:v>
      </x:c>
      <x:c r="AB33" t="str">
        <x:v>错误</x:v>
      </x:c>
      <x:c r="AC33" t="str">
        <x:v>正确</x:v>
      </x:c>
      <x:c r="AD33" t="str">
        <x:v>KLA_FY2021_10K / KLA_FY2022_10K / KLA_FY2023_10K / KLA_FY2024_10K</x:v>
      </x:c>
      <x:c r="AE33" t="str">
        <x:v>利润行方向栏为利润正负号</x:v>
      </x:c>
    </x:row>
    <x:row r="34" ht="24" customHeight="1">
      <x:c r="A34" t="str">
        <x:v>伪留出集</x:v>
      </x:c>
      <x:c r="B34" t="str">
        <x:v>KLA@FY2021</x:v>
      </x:c>
      <x:c r="C34" t="str">
        <x:v>KLA</x:v>
      </x:c>
      <x:c r="D34" t="str">
        <x:v>process-control</x:v>
      </x:c>
      <x:c r="E34" t="str">
        <x:v>FY2021</x:v>
      </x:c>
      <x:c r="F34" t="str">
        <x:v>FY2024</x:v>
      </x:c>
      <x:c r="G34" t="n">
        <x:v>3</x:v>
      </x:c>
      <x:c r="H34" t="str">
        <x:v>净利润</x:v>
      </x:c>
      <x:c r="I34" t="str">
        <x:v>USD bn</x:v>
      </x:c>
      <x:c r="J34" s="77" t="n">
        <x:v>2.761896</x:v>
      </x:c>
      <x:c r="K34" s="81" t="n">
        <x:v>3</x:v>
      </x:c>
      <x:c r="L34" s="81" t="n">
        <x:v>2.65</x:v>
      </x:c>
      <x:c r="M34" s="81" t="n">
        <x:v>2.0300000000000002</x:v>
      </x:c>
      <x:c r="N34" s="81" t="n">
        <x:v>3.9699999999999998</x:v>
      </x:c>
      <x:c r="O34" s="81" t="n">
        <x:v>1.9375</x:v>
      </x:c>
      <x:c r="P34" s="81" t="n">
        <x:v>3.3625</x:v>
      </x:c>
      <x:c r="Q34" s="32"/>
      <x:c r="R34" s="32"/>
      <x:c r="S34" s="32" t="n">
        <x:f>J34/J33</x:f>
        <x:v>0.28147436565752987</x:v>
      </x:c>
      <x:c r="T34" s="32" t="n">
        <x:f>K34/K33</x:f>
        <x:v>0.30927835051546393</x:v>
      </x:c>
      <x:c r="U34" s="32" t="n">
        <x:f>L34/L33</x:f>
        <x:v>0.2789473684210526</x:v>
      </x:c>
      <x:c r="V34" s="34" t="n">
        <x:f>ABS(T34-S34)*100</x:f>
        <x:v>2.7803984857934063</x:v>
      </x:c>
      <x:c r="W34" s="34" t="n">
        <x:f>ABS(U34-S34)*100</x:f>
        <x:v>0.25269972364772575</x:v>
      </x:c>
      <x:c r="X34" t="str">
        <x:f>IF(AND(J34&gt;=M34,J34&lt;=N34),"是","否")</x:f>
        <x:v>是</x:v>
      </x:c>
      <x:c r="Y34" t="str">
        <x:f>IF(AND(J34&gt;=O34,J34&lt;=P34),"是","否")</x:f>
        <x:v>是</x:v>
      </x:c>
      <x:c r="Z34" s="36" t="n">
        <x:f>(N34-M34+IF(J34&lt;M34,10*(M34-J34),IF(J34&gt;N34,10*(J34-N34),0)))/ABS(J33)</x:f>
        <x:v>0.19771210406749848</x:v>
      </x:c>
      <x:c r="AA34" s="36" t="n">
        <x:f>(P34-O34+IF(J34&lt;O34,10*(O34-J34),IF(J34&gt;P34,10*(J34-P34),0)))/ABS(J33)</x:f>
        <x:v>0.14522667437947698</x:v>
      </x:c>
      <x:c r="AB34" t="str">
        <x:v>正确</x:v>
      </x:c>
      <x:c r="AC34" t="str">
        <x:v>正确</x:v>
      </x:c>
      <x:c r="AD34" t="str">
        <x:v>KLA_FY2021_10K / KLA_FY2022_10K / KLA_FY2023_10K / KLA_FY2024_10K</x:v>
      </x:c>
      <x:c r="AE34" t="str">
        <x:v>利润行方向栏为利润正负号</x:v>
      </x:c>
    </x:row>
    <x:row r="35" ht="24" customHeight="1">
      <x:c r="A35" t="str">
        <x:v>伪留出集</x:v>
      </x:c>
      <x:c r="B35" t="str">
        <x:v>KLA@FY2022</x:v>
      </x:c>
      <x:c r="C35" t="str">
        <x:v>KLA</x:v>
      </x:c>
      <x:c r="D35" t="str">
        <x:v>process-control</x:v>
      </x:c>
      <x:c r="E35" t="str">
        <x:v>FY2022</x:v>
      </x:c>
      <x:c r="F35" t="str">
        <x:v>FY2023</x:v>
      </x:c>
      <x:c r="G35" t="n">
        <x:v>1</x:v>
      </x:c>
      <x:c r="H35" t="str">
        <x:v>营业收入</x:v>
      </x:c>
      <x:c r="I35" t="str">
        <x:v>USD bn</x:v>
      </x:c>
      <x:c r="J35" s="77" t="n">
        <x:v>10.496056</x:v>
      </x:c>
      <x:c r="K35" s="81" t="n">
        <x:v>10</x:v>
      </x:c>
      <x:c r="L35" s="81" t="n">
        <x:v>10.2</x:v>
      </x:c>
      <x:c r="M35" s="81" t="n">
        <x:v>9</x:v>
      </x:c>
      <x:c r="N35" s="81" t="n">
        <x:v>11</x:v>
      </x:c>
      <x:c r="O35" s="81" t="n">
        <x:v>9.384</x:v>
      </x:c>
      <x:c r="P35" s="81" t="n">
        <x:v>11.016</x:v>
      </x:c>
      <x:c r="Q35" s="32" t="n">
        <x:f>ABS(K35-J35)/ABS(J35)</x:f>
        <x:v>0.047261180771139125</x:v>
      </x:c>
      <x:c r="R35" s="32" t="n">
        <x:f>ABS(L35-J35)/ABS(J35)</x:f>
        <x:v>0.028206404386561974</x:v>
      </x:c>
      <x:c r="S35" s="32"/>
      <x:c r="T35" s="32"/>
      <x:c r="U35" s="32"/>
      <x:c r="V35" s="34"/>
      <x:c r="W35" s="34"/>
      <x:c r="X35" t="str">
        <x:f>IF(AND(J35&gt;=M35,J35&lt;=N35),"是","否")</x:f>
        <x:v>是</x:v>
      </x:c>
      <x:c r="Y35" t="str">
        <x:f>IF(AND(J35&gt;=O35,J35&lt;=P35),"是","否")</x:f>
        <x:v>是</x:v>
      </x:c>
      <x:c r="Z35" s="36" t="n">
        <x:f>(N35-M35+IF(J35&lt;M35,10*(M35-J35),IF(J35&gt;N35,10*(J35-N35),0)))/ABS(J35)</x:f>
        <x:v>0.19054776384577218</x:v>
      </x:c>
      <x:c r="AA35" s="36" t="n">
        <x:f>(P35-O35+IF(J35&lt;O35,10*(O35-J35),IF(J35&gt;P35,10*(J35-P35),0)))/ABS(J35)</x:f>
        <x:v>0.15548697529815006</x:v>
      </x:c>
      <x:c r="AB35" t="str">
        <x:v>正确</x:v>
      </x:c>
      <x:c r="AC35" t="str">
        <x:v>正确</x:v>
      </x:c>
      <x:c r="AD35" t="str">
        <x:v>KLA_FY2022_10K / KLA_FY2023_10K / KLA_FY2024_10K / KLA_FY2025_10K</x:v>
      </x:c>
      <x:c r="AE35" t="str">
        <x:v>利润行方向栏为利润正负号</x:v>
      </x:c>
    </x:row>
    <x:row r="36" ht="24" customHeight="1">
      <x:c r="A36" t="str">
        <x:v>伪留出集</x:v>
      </x:c>
      <x:c r="B36" t="str">
        <x:v>KLA@FY2022</x:v>
      </x:c>
      <x:c r="C36" t="str">
        <x:v>KLA</x:v>
      </x:c>
      <x:c r="D36" t="str">
        <x:v>process-control</x:v>
      </x:c>
      <x:c r="E36" t="str">
        <x:v>FY2022</x:v>
      </x:c>
      <x:c r="F36" t="str">
        <x:v>FY2023</x:v>
      </x:c>
      <x:c r="G36" t="n">
        <x:v>1</x:v>
      </x:c>
      <x:c r="H36" t="str">
        <x:v>净利润</x:v>
      </x:c>
      <x:c r="I36" t="str">
        <x:v>USD bn</x:v>
      </x:c>
      <x:c r="J36" s="77" t="n">
        <x:v>3.387277</x:v>
      </x:c>
      <x:c r="K36" s="81" t="n">
        <x:v>3.5</x:v>
      </x:c>
      <x:c r="L36" s="81" t="n">
        <x:v>3.2</x:v>
      </x:c>
      <x:c r="M36" s="81" t="n">
        <x:v>3.1</x:v>
      </x:c>
      <x:c r="N36" s="81" t="n">
        <x:v>3.9</x:v>
      </x:c>
      <x:c r="O36" s="81" t="n">
        <x:v>2.894</x:v>
      </x:c>
      <x:c r="P36" s="81" t="n">
        <x:v>3.5060000000000002</x:v>
      </x:c>
      <x:c r="Q36" s="32"/>
      <x:c r="R36" s="32"/>
      <x:c r="S36" s="32" t="n">
        <x:f>J36/J35</x:f>
        <x:v>0.32271902893810783</x:v>
      </x:c>
      <x:c r="T36" s="32" t="n">
        <x:f>K36/K35</x:f>
        <x:v>0.35</x:v>
      </x:c>
      <x:c r="U36" s="32" t="n">
        <x:f>L36/L35</x:f>
        <x:v>0.3137254901960785</x:v>
      </x:c>
      <x:c r="V36" s="34" t="n">
        <x:f>ABS(T36-S36)*100</x:f>
        <x:v>2.7280971061892147</x:v>
      </x:c>
      <x:c r="W36" s="34" t="n">
        <x:f>ABS(U36-S36)*100</x:f>
        <x:v>0.899353874202935</x:v>
      </x:c>
      <x:c r="X36" t="str">
        <x:f>IF(AND(J36&gt;=M36,J36&lt;=N36),"是","否")</x:f>
        <x:v>是</x:v>
      </x:c>
      <x:c r="Y36" t="str">
        <x:f>IF(AND(J36&gt;=O36,J36&lt;=P36),"是","否")</x:f>
        <x:v>是</x:v>
      </x:c>
      <x:c r="Z36" s="36" t="n">
        <x:f>(N36-M36+IF(J36&lt;M36,10*(M36-J36),IF(J36&gt;N36,10*(J36-N36),0)))/ABS(J35)</x:f>
        <x:v>0.07621910553830885</x:v>
      </x:c>
      <x:c r="AA36" s="36" t="n">
        <x:f>(P36-O36+IF(J36&lt;O36,10*(O36-J36),IF(J36&gt;P36,10*(J36-P36),0)))/ABS(J35)</x:f>
        <x:v>0.0583076157368063</x:v>
      </x:c>
      <x:c r="AB36" t="str">
        <x:v>正确</x:v>
      </x:c>
      <x:c r="AC36" t="str">
        <x:v>正确</x:v>
      </x:c>
      <x:c r="AD36" t="str">
        <x:v>KLA_FY2022_10K / KLA_FY2023_10K / KLA_FY2024_10K / KLA_FY2025_10K</x:v>
      </x:c>
      <x:c r="AE36" t="str">
        <x:v>利润行方向栏为利润正负号</x:v>
      </x:c>
    </x:row>
    <x:row r="37" ht="24" customHeight="1">
      <x:c r="A37" t="str">
        <x:v>伪留出集</x:v>
      </x:c>
      <x:c r="B37" t="str">
        <x:v>KLA@FY2022</x:v>
      </x:c>
      <x:c r="C37" t="str">
        <x:v>KLA</x:v>
      </x:c>
      <x:c r="D37" t="str">
        <x:v>process-control</x:v>
      </x:c>
      <x:c r="E37" t="str">
        <x:v>FY2022</x:v>
      </x:c>
      <x:c r="F37" t="str">
        <x:v>FY2024</x:v>
      </x:c>
      <x:c r="G37" t="n">
        <x:v>2</x:v>
      </x:c>
      <x:c r="H37" t="str">
        <x:v>营业收入</x:v>
      </x:c>
      <x:c r="I37" t="str">
        <x:v>USD bn</x:v>
      </x:c>
      <x:c r="J37" s="77" t="n">
        <x:v>9.812247</x:v>
      </x:c>
      <x:c r="K37" s="81" t="n">
        <x:v>10.6</x:v>
      </x:c>
      <x:c r="L37" s="81" t="n">
        <x:v>9.5</x:v>
      </x:c>
      <x:c r="M37" s="81" t="n">
        <x:v>8.692</x:v>
      </x:c>
      <x:c r="N37" s="81" t="n">
        <x:v>12.508</x:v>
      </x:c>
      <x:c r="O37" s="81" t="n">
        <x:v>8.17</x:v>
      </x:c>
      <x:c r="P37" s="81" t="n">
        <x:v>10.830000000000002</x:v>
      </x:c>
      <x:c r="Q37" s="32" t="n">
        <x:f>ABS(K37-J37)/ABS(J37)</x:f>
        <x:v>0.08028263047189908</x:v>
      </x:c>
      <x:c r="R37" s="32" t="n">
        <x:f>ABS(L37-J37)/ABS(J37)</x:f>
        <x:v>0.031822170803486635</x:v>
      </x:c>
      <x:c r="S37" s="32"/>
      <x:c r="T37" s="32"/>
      <x:c r="U37" s="32"/>
      <x:c r="V37" s="34"/>
      <x:c r="W37" s="34"/>
      <x:c r="X37" t="str">
        <x:f>IF(AND(J37&gt;=M37,J37&lt;=N37),"是","否")</x:f>
        <x:v>是</x:v>
      </x:c>
      <x:c r="Y37" t="str">
        <x:f>IF(AND(J37&gt;=O37,J37&lt;=P37),"是","否")</x:f>
        <x:v>是</x:v>
      </x:c>
      <x:c r="Z37" s="36" t="n">
        <x:f>(N37-M37+IF(J37&lt;M37,10*(M37-J37),IF(J37&gt;N37,10*(J37-N37),0)))/ABS(J37)</x:f>
        <x:v>0.38890174696988355</x:v>
      </x:c>
      <x:c r="AA37" s="36" t="n">
        <x:f>(P37-O37+IF(J37&lt;O37,10*(O37-J37),IF(J37&gt;P37,10*(J37-P37),0)))/ABS(J37)</x:f>
        <x:v>0.27108979217502394</x:v>
      </x:c>
      <x:c r="AB37" t="str">
        <x:v>错误</x:v>
      </x:c>
      <x:c r="AC37" t="str">
        <x:v>正确</x:v>
      </x:c>
      <x:c r="AD37" t="str">
        <x:v>KLA_FY2022_10K / KLA_FY2023_10K / KLA_FY2024_10K / KLA_FY2025_10K</x:v>
      </x:c>
      <x:c r="AE37" t="str">
        <x:v>利润行方向栏为利润正负号</x:v>
      </x:c>
    </x:row>
    <x:row r="38" ht="24" customHeight="1">
      <x:c r="A38" t="str">
        <x:v>伪留出集</x:v>
      </x:c>
      <x:c r="B38" t="str">
        <x:v>KLA@FY2022</x:v>
      </x:c>
      <x:c r="C38" t="str">
        <x:v>KLA</x:v>
      </x:c>
      <x:c r="D38" t="str">
        <x:v>process-control</x:v>
      </x:c>
      <x:c r="E38" t="str">
        <x:v>FY2022</x:v>
      </x:c>
      <x:c r="F38" t="str">
        <x:v>FY2024</x:v>
      </x:c>
      <x:c r="G38" t="n">
        <x:v>2</x:v>
      </x:c>
      <x:c r="H38" t="str">
        <x:v>净利润</x:v>
      </x:c>
      <x:c r="I38" t="str">
        <x:v>USD bn</x:v>
      </x:c>
      <x:c r="J38" s="77" t="n">
        <x:v>2.761896</x:v>
      </x:c>
      <x:c r="K38" s="81" t="n">
        <x:v>3.7</x:v>
      </x:c>
      <x:c r="L38" s="81" t="n">
        <x:v>2.65</x:v>
      </x:c>
      <x:c r="M38" s="81" t="n">
        <x:v>2.958</x:v>
      </x:c>
      <x:c r="N38" s="81" t="n">
        <x:v>4.442</x:v>
      </x:c>
      <x:c r="O38" s="81" t="n">
        <x:v>2.175</x:v>
      </x:c>
      <x:c r="P38" s="81" t="n">
        <x:v>3.125</x:v>
      </x:c>
      <x:c r="Q38" s="32"/>
      <x:c r="R38" s="32"/>
      <x:c r="S38" s="32" t="n">
        <x:f>J38/J37</x:f>
        <x:v>0.28147436565752987</x:v>
      </x:c>
      <x:c r="T38" s="32" t="n">
        <x:f>K38/K37</x:f>
        <x:v>0.34905660377358494</x:v>
      </x:c>
      <x:c r="U38" s="32" t="n">
        <x:f>L38/L37</x:f>
        <x:v>0.2789473684210526</x:v>
      </x:c>
      <x:c r="V38" s="34" t="n">
        <x:f>ABS(T38-S38)*100</x:f>
        <x:v>6.758223811605507</x:v>
      </x:c>
      <x:c r="W38" s="34" t="n">
        <x:f>ABS(U38-S38)*100</x:f>
        <x:v>0.25269972364772575</x:v>
      </x:c>
      <x:c r="X38" t="str">
        <x:f>IF(AND(J38&gt;=M38,J38&lt;=N38),"是","否")</x:f>
        <x:v>否</x:v>
      </x:c>
      <x:c r="Y38" t="str">
        <x:f>IF(AND(J38&gt;=O38,J38&lt;=P38),"是","否")</x:f>
        <x:v>是</x:v>
      </x:c>
      <x:c r="Z38" s="36" t="n">
        <x:f>(N38-M38+IF(J38&lt;M38,10*(M38-J38),IF(J38&gt;N38,10*(J38-N38),0)))/ABS(J37)</x:f>
        <x:v>0.35109593144159545</x:v>
      </x:c>
      <x:c r="AA38" s="36" t="n">
        <x:f>(P38-O38+IF(J38&lt;O38,10*(O38-J38),IF(J38&gt;P38,10*(J38-P38),0)))/ABS(J37)</x:f>
        <x:v>0.09681778291965136</x:v>
      </x:c>
      <x:c r="AB38" t="str">
        <x:v>正确</x:v>
      </x:c>
      <x:c r="AC38" t="str">
        <x:v>正确</x:v>
      </x:c>
      <x:c r="AD38" t="str">
        <x:v>KLA_FY2022_10K / KLA_FY2023_10K / KLA_FY2024_10K / KLA_FY2025_10K</x:v>
      </x:c>
      <x:c r="AE38" t="str">
        <x:v>利润行方向栏为利润正负号</x:v>
      </x:c>
    </x:row>
    <x:row r="39" ht="24" customHeight="1">
      <x:c r="A39" t="str">
        <x:v>伪留出集</x:v>
      </x:c>
      <x:c r="B39" t="str">
        <x:v>KLA@FY2022</x:v>
      </x:c>
      <x:c r="C39" t="str">
        <x:v>KLA</x:v>
      </x:c>
      <x:c r="D39" t="str">
        <x:v>process-control</x:v>
      </x:c>
      <x:c r="E39" t="str">
        <x:v>FY2022</x:v>
      </x:c>
      <x:c r="F39" t="str">
        <x:v>FY2025</x:v>
      </x:c>
      <x:c r="G39" t="n">
        <x:v>3</x:v>
      </x:c>
      <x:c r="H39" t="str">
        <x:v>营业收入</x:v>
      </x:c>
      <x:c r="I39" t="str">
        <x:v>USD bn</x:v>
      </x:c>
      <x:c r="J39" s="77" t="n">
        <x:v>12.156162</x:v>
      </x:c>
      <x:c r="K39" s="81" t="n">
        <x:v>11.2</x:v>
      </x:c>
      <x:c r="L39" s="81" t="n">
        <x:v>11.5</x:v>
      </x:c>
      <x:c r="M39" s="81" t="n">
        <x:v>8.399999999999999</x:v>
      </x:c>
      <x:c r="N39" s="81" t="n">
        <x:v>14</x:v>
      </x:c>
      <x:c r="O39" s="81" t="n">
        <x:v>9.200000000000001</x:v>
      </x:c>
      <x:c r="P39" s="81" t="n">
        <x:v>13.799999999999999</x:v>
      </x:c>
      <x:c r="Q39" s="32" t="n">
        <x:f>ABS(K39-J39)/ABS(J39)</x:f>
        <x:v>0.07865656940076982</x:v>
      </x:c>
      <x:c r="R39" s="32" t="n">
        <x:f>ABS(L39-J39)/ABS(J39)</x:f>
        <x:v>0.05397772750971895</x:v>
      </x:c>
      <x:c r="S39" s="32"/>
      <x:c r="T39" s="32"/>
      <x:c r="U39" s="32"/>
      <x:c r="V39" s="34"/>
      <x:c r="W39" s="34"/>
      <x:c r="X39" t="str">
        <x:f>IF(AND(J39&gt;=M39,J39&lt;=N39),"是","否")</x:f>
        <x:v>是</x:v>
      </x:c>
      <x:c r="Y39" t="str">
        <x:f>IF(AND(J39&gt;=O39,J39&lt;=P39),"是","否")</x:f>
        <x:v>是</x:v>
      </x:c>
      <x:c r="Z39" s="36" t="n">
        <x:f>(N39-M39+IF(J39&lt;M39,10*(M39-J39),IF(J39&gt;N39,10*(J39-N39),0)))/ABS(J39)</x:f>
        <x:v>0.46067171529961526</x:v>
      </x:c>
      <x:c r="AA39" s="36" t="n">
        <x:f>(P39-O39+IF(J39&lt;O39,10*(O39-J39),IF(J39&gt;P39,10*(J39-P39),0)))/ABS(J39)</x:f>
        <x:v>0.37840890899611224</x:v>
      </x:c>
      <x:c r="AB39" t="str">
        <x:v>正确</x:v>
      </x:c>
      <x:c r="AC39" t="str">
        <x:v>正确</x:v>
      </x:c>
      <x:c r="AD39" t="str">
        <x:v>KLA_FY2022_10K / KLA_FY2023_10K / KLA_FY2024_10K / KLA_FY2025_10K</x:v>
      </x:c>
      <x:c r="AE39" t="str">
        <x:v>利润行方向栏为利润正负号</x:v>
      </x:c>
    </x:row>
    <x:row r="40" ht="24" customHeight="1">
      <x:c r="A40" t="str">
        <x:v>伪留出集</x:v>
      </x:c>
      <x:c r="B40" t="str">
        <x:v>KLA@FY2022</x:v>
      </x:c>
      <x:c r="C40" t="str">
        <x:v>KLA</x:v>
      </x:c>
      <x:c r="D40" t="str">
        <x:v>process-control</x:v>
      </x:c>
      <x:c r="E40" t="str">
        <x:v>FY2022</x:v>
      </x:c>
      <x:c r="F40" t="str">
        <x:v>FY2025</x:v>
      </x:c>
      <x:c r="G40" t="n">
        <x:v>3</x:v>
      </x:c>
      <x:c r="H40" t="str">
        <x:v>净利润</x:v>
      </x:c>
      <x:c r="I40" t="str">
        <x:v>USD bn</x:v>
      </x:c>
      <x:c r="J40" s="77" t="n">
        <x:v>4.061643</x:v>
      </x:c>
      <x:c r="K40" s="81" t="n">
        <x:v>3.9</x:v>
      </x:c>
      <x:c r="L40" s="81" t="n">
        <x:v>3.75</x:v>
      </x:c>
      <x:c r="M40" s="81" t="n">
        <x:v>2.7800000000000002</x:v>
      </x:c>
      <x:c r="N40" s="81" t="n">
        <x:v>5.02</x:v>
      </x:c>
      <x:c r="O40" s="81" t="n">
        <x:v>2.8875</x:v>
      </x:c>
      <x:c r="P40" s="81" t="n">
        <x:v>4.6125</x:v>
      </x:c>
      <x:c r="Q40" s="32"/>
      <x:c r="R40" s="32"/>
      <x:c r="S40" s="32" t="n">
        <x:f>J40/J39</x:f>
        <x:v>0.33412215138297763</x:v>
      </x:c>
      <x:c r="T40" s="32" t="n">
        <x:f>K40/K39</x:f>
        <x:v>0.34821428571428575</x:v>
      </x:c>
      <x:c r="U40" s="32" t="n">
        <x:f>L40/L39</x:f>
        <x:v>0.32608695652173914</x:v>
      </x:c>
      <x:c r="V40" s="34" t="n">
        <x:f>ABS(T40-S40)*100</x:f>
        <x:v>1.4092134331308126</x:v>
      </x:c>
      <x:c r="W40" s="34" t="n">
        <x:f>ABS(U40-S40)*100</x:f>
        <x:v>0.8035194861238493</x:v>
      </x:c>
      <x:c r="X40" t="str">
        <x:f>IF(AND(J40&gt;=M40,J40&lt;=N40),"是","否")</x:f>
        <x:v>是</x:v>
      </x:c>
      <x:c r="Y40" t="str">
        <x:f>IF(AND(J40&gt;=O40,J40&lt;=P40),"是","否")</x:f>
        <x:v>是</x:v>
      </x:c>
      <x:c r="Z40" s="36" t="n">
        <x:f>(N40-M40+IF(J40&lt;M40,10*(M40-J40),IF(J40&gt;N40,10*(J40-N40),0)))/ABS(J39)</x:f>
        <x:v>0.18426868611984598</x:v>
      </x:c>
      <x:c r="AA40" s="36" t="n">
        <x:f>(P40-O40+IF(J40&lt;O40,10*(O40-J40),IF(J40&gt;P40,10*(J40-P40),0)))/ABS(J39)</x:f>
        <x:v>0.14190334087354212</x:v>
      </x:c>
      <x:c r="AB40" t="str">
        <x:v>正确</x:v>
      </x:c>
      <x:c r="AC40" t="str">
        <x:v>正确</x:v>
      </x:c>
      <x:c r="AD40" t="str">
        <x:v>KLA_FY2022_10K / KLA_FY2023_10K / KLA_FY2024_10K / KLA_FY2025_10K</x:v>
      </x:c>
      <x:c r="AE40" t="str">
        <x:v>利润行方向栏为利润正负号</x:v>
      </x:c>
    </x:row>
  </x:sheetData>
  <x:mergeCells>
    <x:mergeCell ref="A1:AE1"/>
    <x:mergeCell ref="A2:AE2"/>
  </x:mergeCells>
  <x:conditionalFormatting sqref="X5:Y40">
    <x:cfRule type="expression" dxfId="0" priority="1">
      <x:formula>X5="是"</x:formula>
    </x:cfRule>
    <x:cfRule type="expression" dxfId="1" priority="2">
      <x:formula>X5="否"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7" hidden="0" customWidth="1"/>
    <x:col min="4" max="4" width="18" hidden="0" customWidth="1"/>
    <x:col min="5" max="5" width="35" hidden="0" customWidth="1"/>
    <x:col min="6" max="6" width="15" hidden="0" customWidth="1"/>
    <x:col min="7" max="7" width="15" hidden="0" customWidth="1"/>
    <x:col min="8" max="8" width="18" hidden="0" customWidth="1"/>
    <x:col min="9" max="9" width="18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8" customHeight="1">
      <x:c r="A1" s="4" t="str">
        <x:v>误差汇总</x:v>
      </x:c>
      <x:c r="B1" s="4" t="str">
        <x:v>误差汇总</x:v>
      </x:c>
      <x:c r="C1" s="4" t="str">
        <x:v>误差汇总</x:v>
      </x:c>
      <x:c r="D1" s="4" t="str">
        <x:v>误差汇总</x:v>
      </x:c>
      <x:c r="E1" s="4" t="str">
        <x:v>误差汇总</x:v>
      </x:c>
      <x:c r="F1" s="4" t="str">
        <x:v>误差汇总</x:v>
      </x:c>
      <x:c r="G1" s="4" t="str">
        <x:v>误差汇总</x:v>
      </x:c>
      <x:c r="H1" s="4" t="str">
        <x:v>误差汇总</x:v>
      </x:c>
      <x:c r="I1" s="4" t="str">
        <x:v>误差汇总</x:v>
      </x:c>
      <x:c r="J1" s="4" t="str">
        <x:v>误差汇总</x:v>
      </x:c>
      <x:c r="K1" s="4" t="str">
        <x:v>误差汇总</x:v>
      </x:c>
      <x:c r="L1" s="4" t="str">
        <x:v>误差汇总</x:v>
      </x:c>
      <x:c r="M1" s="4" t="str">
        <x:v>误差汇总</x:v>
      </x:c>
      <x:c r="N1" s="4" t="str">
        <x:v>误差汇总</x:v>
      </x:c>
      <x:c r="O1" s="4" t="str">
        <x:v>误差汇总</x:v>
      </x:c>
      <x:c r="P1" s="4" t="str">
        <x:v>误差汇总</x:v>
      </x:c>
    </x:row>
    <x:row r="2" ht="35" customHeight="1">
      <x:c r="A2" s="11" t="str">
        <x:v>伪留出是本轮主要评价集；校准结果只用于诊断结构。</x:v>
      </x:c>
      <x:c r="B2" s="11" t="str">
        <x:v>伪留出是本轮主要评价集；校准结果只用于诊断结构。</x:v>
      </x:c>
      <x:c r="C2" s="11" t="str">
        <x:v>伪留出是本轮主要评价集；校准结果只用于诊断结构。</x:v>
      </x:c>
      <x:c r="D2" s="11" t="str">
        <x:v>伪留出是本轮主要评价集；校准结果只用于诊断结构。</x:v>
      </x:c>
      <x:c r="E2" s="11" t="str">
        <x:v>伪留出是本轮主要评价集；校准结果只用于诊断结构。</x:v>
      </x:c>
      <x:c r="F2" s="11" t="str">
        <x:v>伪留出是本轮主要评价集；校准结果只用于诊断结构。</x:v>
      </x:c>
      <x:c r="G2" s="11" t="str">
        <x:v>伪留出是本轮主要评价集；校准结果只用于诊断结构。</x:v>
      </x:c>
      <x:c r="H2" s="11" t="str">
        <x:v>伪留出是本轮主要评价集；校准结果只用于诊断结构。</x:v>
      </x:c>
      <x:c r="I2" s="11" t="str">
        <x:v>伪留出是本轮主要评价集；校准结果只用于诊断结构。</x:v>
      </x:c>
      <x:c r="J2" s="11" t="str">
        <x:v>伪留出是本轮主要评价集；校准结果只用于诊断结构。</x:v>
      </x:c>
      <x:c r="K2" s="11" t="str">
        <x:v>伪留出是本轮主要评价集；校准结果只用于诊断结构。</x:v>
      </x:c>
      <x:c r="L2" s="11" t="str">
        <x:v>伪留出是本轮主要评价集；校准结果只用于诊断结构。</x:v>
      </x:c>
      <x:c r="M2" s="11" t="str">
        <x:v>伪留出是本轮主要评价集；校准结果只用于诊断结构。</x:v>
      </x:c>
      <x:c r="N2" s="11" t="str">
        <x:v>伪留出是本轮主要评价集；校准结果只用于诊断结构。</x:v>
      </x:c>
      <x:c r="O2" s="11" t="str">
        <x:v>伪留出是本轮主要评价集；校准结果只用于诊断结构。</x:v>
      </x:c>
      <x:c r="P2" s="11" t="str">
        <x:v>伪留出是本轮主要评价集；校准结果只用于诊断结构。</x:v>
      </x:c>
    </x:row>
    <x:row r="4" ht="21" customHeight="1">
      <x:c r="A4" s="18" t="str">
        <x:v>一、按数据组</x:v>
      </x:c>
      <x:c r="B4" s="18" t="str">
        <x:v>一、按数据组</x:v>
      </x:c>
      <x:c r="C4" s="18" t="str">
        <x:v>一、按数据组</x:v>
      </x:c>
      <x:c r="D4" s="18" t="str">
        <x:v>一、按数据组</x:v>
      </x:c>
      <x:c r="E4" s="18" t="str">
        <x:v>一、按数据组</x:v>
      </x:c>
      <x:c r="F4" s="18" t="str">
        <x:v>一、按数据组</x:v>
      </x:c>
      <x:c r="G4" s="18" t="str">
        <x:v>一、按数据组</x:v>
      </x:c>
      <x:c r="H4" s="18" t="str">
        <x:v>一、按数据组</x:v>
      </x:c>
      <x:c r="I4" s="18" t="str">
        <x:v>一、按数据组</x:v>
      </x:c>
      <x:c r="J4" s="18" t="str">
        <x:v>一、按数据组</x:v>
      </x:c>
      <x:c r="K4" s="18" t="str">
        <x:v>一、按数据组</x:v>
      </x:c>
      <x:c r="L4" s="18" t="str">
        <x:v>一、按数据组</x:v>
      </x:c>
      <x:c r="M4" s="18" t="str">
        <x:v>一、按数据组</x:v>
      </x:c>
      <x:c r="N4" s="18" t="str">
        <x:v>一、按数据组</x:v>
      </x:c>
      <x:c r="O4" s="18" t="str">
        <x:v>一、按数据组</x:v>
      </x:c>
      <x:c r="P4" s="18" t="str">
        <x:v>一、按数据组</x:v>
      </x:c>
    </x:row>
    <x:row r="5" ht="28" customHeight="1">
      <x:c r="A5" s="26" t="str">
        <x:v>数据组</x:v>
      </x:c>
      <x:c r="B5" s="26" t="str">
        <x:v>版本</x:v>
      </x:c>
      <x:c r="C5" s="26" t="str">
        <x:v>收入MAPE</x:v>
      </x:c>
      <x:c r="D5" s="26" t="str">
        <x:v>利润率误差pp</x:v>
      </x:c>
      <x:c r="E5" s="26" t="str">
        <x:v>收入方向</x:v>
      </x:c>
      <x:c r="F5" s="26" t="str">
        <x:v>利润符号</x:v>
      </x:c>
      <x:c r="G5" s="26" t="str">
        <x:v>收入覆盖</x:v>
      </x:c>
      <x:c r="H5" s="26" t="str">
        <x:v>利润覆盖</x:v>
      </x:c>
      <x:c r="I5" s="26" t="str">
        <x:v>收入区间分数</x:v>
      </x:c>
      <x:c r="J5" s="26" t="str">
        <x:v>利润区间分数</x:v>
      </x:c>
    </x:row>
    <x:row r="6">
      <x:c r="A6" t="str">
        <x:v>校准集</x:v>
      </x:c>
      <x:c r="B6" t="str">
        <x:v>v6.1</x:v>
      </x:c>
      <x:c r="C6" s="32" t="n">
        <x:v>0.15039368649791277</x:v>
      </x:c>
      <x:c r="D6" s="34" t="n">
        <x:v>4.988408031937381</x:v>
      </x:c>
      <x:c r="E6" s="32" t="n">
        <x:v>1</x:v>
      </x:c>
      <x:c r="F6" s="32" t="n">
        <x:v>1</x:v>
      </x:c>
      <x:c r="G6" s="32" t="n">
        <x:v>0.3333333333333333</x:v>
      </x:c>
      <x:c r="H6" s="32" t="n">
        <x:v>0.16666666666666666</x:v>
      </x:c>
      <x:c r="I6" s="36" t="n">
        <x:v>0.61667236134603</x:v>
      </x:c>
      <x:c r="J6" s="36" t="n">
        <x:v>0.5270476545212613</x:v>
      </x:c>
    </x:row>
    <x:row r="7">
      <x:c r="A7" t="str">
        <x:v>校准集</x:v>
      </x:c>
      <x:c r="B7" t="str">
        <x:v>v6.2</x:v>
      </x:c>
      <x:c r="C7" s="32" t="n">
        <x:v>0.05458474761510424</x:v>
      </x:c>
      <x:c r="D7" s="34" t="n">
        <x:v>1.1798014471795544</x:v>
      </x:c>
      <x:c r="E7" s="32" t="n">
        <x:v>1</x:v>
      </x:c>
      <x:c r="F7" s="32" t="n">
        <x:v>1</x:v>
      </x:c>
      <x:c r="G7" s="32" t="n">
        <x:v>1</x:v>
      </x:c>
      <x:c r="H7" s="32" t="n">
        <x:v>1</x:v>
      </x:c>
      <x:c r="I7" s="36" t="n">
        <x:v>0.2742588553432304</x:v>
      </x:c>
      <x:c r="J7" s="36" t="n">
        <x:v>0.10562447205192398</x:v>
      </x:c>
    </x:row>
    <x:row r="8">
      <x:c r="A8" t="str">
        <x:v>伪留出集</x:v>
      </x:c>
      <x:c r="B8" t="str">
        <x:v>v6.1</x:v>
      </x:c>
      <x:c r="C8" s="32" t="n">
        <x:v>0.11271161967909715</x:v>
      </x:c>
      <x:c r="D8" s="34" t="n">
        <x:v>2.4744480697027</x:v>
      </x:c>
      <x:c r="E8" s="32" t="n">
        <x:v>0.6666666666666666</x:v>
      </x:c>
      <x:c r="F8" s="32" t="n">
        <x:v>1</x:v>
      </x:c>
      <x:c r="G8" s="32" t="n">
        <x:v>0.75</x:v>
      </x:c>
      <x:c r="H8" s="32" t="n">
        <x:v>0.6666666666666666</x:v>
      </x:c>
      <x:c r="I8" s="36" t="n">
        <x:v>0.457062664622311</x:v>
      </x:c>
      <x:c r="J8" s="36" t="n">
        <x:v>0.23424584230280387</x:v>
      </x:c>
    </x:row>
    <x:row r="9">
      <x:c r="A9" t="str">
        <x:v>伪留出集</x:v>
      </x:c>
      <x:c r="B9" t="str">
        <x:v>v6.2</x:v>
      </x:c>
      <x:c r="C9" s="32" t="n">
        <x:v>0.03661733709125043</x:v>
      </x:c>
      <x:c r="D9" s="34" t="n">
        <x:v>0.5998569530976897</x:v>
      </x:c>
      <x:c r="E9" s="32" t="n">
        <x:v>0.9166666666666666</x:v>
      </x:c>
      <x:c r="F9" s="32" t="n">
        <x:v>1</x:v>
      </x:c>
      <x:c r="G9" s="32" t="n">
        <x:v>1</x:v>
      </x:c>
      <x:c r="H9" s="32" t="n">
        <x:v>0.9166666666666666</x:v>
      </x:c>
      <x:c r="I9" s="36" t="n">
        <x:v>0.28465959442390426</x:v>
      </x:c>
      <x:c r="J9" s="36" t="n">
        <x:v>0.11491842350353353</x:v>
      </x:c>
    </x:row>
    <x:row r="11" ht="21" customHeight="1">
      <x:c r="A11" s="18" t="str">
        <x:v>二、按公司（伪留出）</x:v>
      </x:c>
      <x:c r="B11" s="18" t="str">
        <x:v>二、按公司（伪留出）</x:v>
      </x:c>
      <x:c r="C11" s="18" t="str">
        <x:v>二、按公司（伪留出）</x:v>
      </x:c>
      <x:c r="D11" s="18" t="str">
        <x:v>二、按公司（伪留出）</x:v>
      </x:c>
      <x:c r="E11" s="18" t="str">
        <x:v>二、按公司（伪留出）</x:v>
      </x:c>
      <x:c r="F11" s="18" t="str">
        <x:v>二、按公司（伪留出）</x:v>
      </x:c>
      <x:c r="G11" s="18" t="str">
        <x:v>二、按公司（伪留出）</x:v>
      </x:c>
      <x:c r="H11" s="18" t="str">
        <x:v>二、按公司（伪留出）</x:v>
      </x:c>
      <x:c r="I11" s="18" t="str">
        <x:v>二、按公司（伪留出）</x:v>
      </x:c>
      <x:c r="J11" s="18" t="str">
        <x:v>二、按公司（伪留出）</x:v>
      </x:c>
      <x:c r="K11" s="18" t="str">
        <x:v>二、按公司（伪留出）</x:v>
      </x:c>
      <x:c r="L11" s="18" t="str">
        <x:v>二、按公司（伪留出）</x:v>
      </x:c>
      <x:c r="M11" s="18" t="str">
        <x:v>二、按公司（伪留出）</x:v>
      </x:c>
      <x:c r="N11" s="18" t="str">
        <x:v>二、按公司（伪留出）</x:v>
      </x:c>
      <x:c r="O11" s="18" t="str">
        <x:v>二、按公司（伪留出）</x:v>
      </x:c>
      <x:c r="P11" s="18" t="str">
        <x:v>二、按公司（伪留出）</x:v>
      </x:c>
    </x:row>
    <x:row r="12" ht="28" customHeight="1">
      <x:c r="A12" s="26" t="str">
        <x:v>公司</x:v>
      </x:c>
      <x:c r="B12" s="26" t="str">
        <x:v>版本</x:v>
      </x:c>
      <x:c r="C12" s="26" t="str">
        <x:v>收入MAPE</x:v>
      </x:c>
      <x:c r="D12" s="26" t="str">
        <x:v>利润率误差pp</x:v>
      </x:c>
      <x:c r="E12" s="26" t="str">
        <x:v>收入方向</x:v>
      </x:c>
      <x:c r="F12" s="26" t="str">
        <x:v>收入覆盖</x:v>
      </x:c>
      <x:c r="G12" s="26" t="str">
        <x:v>利润覆盖</x:v>
      </x:c>
      <x:c r="H12" s="26" t="str">
        <x:v>利润区间分数</x:v>
      </x:c>
    </x:row>
    <x:row r="13">
      <x:c r="A13" t="str">
        <x:v>Lam Research</x:v>
      </x:c>
      <x:c r="B13" t="str">
        <x:v>v6.1</x:v>
      </x:c>
      <x:c r="C13" s="32" t="n">
        <x:v>0.1470865183676153</x:v>
      </x:c>
      <x:c r="D13" s="34" t="n">
        <x:v>1.8432505401727788</x:v>
      </x:c>
      <x:c r="E13" s="32" t="n">
        <x:v>0.6666666666666666</x:v>
      </x:c>
      <x:c r="F13" s="32" t="n">
        <x:v>0.6666666666666666</x:v>
      </x:c>
      <x:c r="G13" s="32" t="n">
        <x:v>0.6666666666666666</x:v>
      </x:c>
      <x:c r="H13" s="36" t="n">
        <x:v>0.2304829841889463</x:v>
      </x:c>
    </x:row>
    <x:row r="14">
      <x:c r="A14" t="str">
        <x:v>Lam Research</x:v>
      </x:c>
      <x:c r="B14" t="str">
        <x:v>v6.2</x:v>
      </x:c>
      <x:c r="C14" s="32" t="n">
        <x:v>0.03360104184612692</x:v>
      </x:c>
      <x:c r="D14" s="34" t="n">
        <x:v>0.45816587032415734</x:v>
      </x:c>
      <x:c r="E14" s="32" t="n">
        <x:v>0.8333333333333334</x:v>
      </x:c>
      <x:c r="F14" s="32" t="n">
        <x:v>1</x:v>
      </x:c>
      <x:c r="G14" s="32" t="n">
        <x:v>1</x:v>
      </x:c>
      <x:c r="H14" s="36" t="n">
        <x:v>0.12023697869422023</x:v>
      </x:c>
    </x:row>
    <x:row r="15">
      <x:c r="A15" t="str">
        <x:v>KLA</x:v>
      </x:c>
      <x:c r="B15" t="str">
        <x:v>v6.1</x:v>
      </x:c>
      <x:c r="C15" s="32" t="n">
        <x:v>0.07833672099057902</x:v>
      </x:c>
      <x:c r="D15" s="34" t="n">
        <x:v>3.1056455992326204</x:v>
      </x:c>
      <x:c r="E15" s="32" t="n">
        <x:v>0.6666666666666666</x:v>
      </x:c>
      <x:c r="F15" s="32" t="n">
        <x:v>0.8333333333333334</x:v>
      </x:c>
      <x:c r="G15" s="32" t="n">
        <x:v>0.6666666666666666</x:v>
      </x:c>
      <x:c r="H15" s="36" t="n">
        <x:v>0.23800870041666142</x:v>
      </x:c>
    </x:row>
    <x:row r="16">
      <x:c r="A16" t="str">
        <x:v>KLA</x:v>
      </x:c>
      <x:c r="B16" t="str">
        <x:v>v6.2</x:v>
      </x:c>
      <x:c r="C16" s="32" t="n">
        <x:v>0.03963363233637395</x:v>
      </x:c>
      <x:c r="D16" s="34" t="n">
        <x:v>0.741548035871222</x:v>
      </x:c>
      <x:c r="E16" s="32" t="n">
        <x:v>1</x:v>
      </x:c>
      <x:c r="F16" s="32" t="n">
        <x:v>1</x:v>
      </x:c>
      <x:c r="G16" s="32" t="n">
        <x:v>0.8333333333333334</x:v>
      </x:c>
      <x:c r="H16" s="36" t="n">
        <x:v>0.10959986831284683</x:v>
      </x:c>
    </x:row>
    <x:row r="18" ht="21" customHeight="1">
      <x:c r="A18" s="18" t="str">
        <x:v>三、按预测期限（伪留出）</x:v>
      </x:c>
      <x:c r="B18" s="18" t="str">
        <x:v>三、按预测期限（伪留出）</x:v>
      </x:c>
      <x:c r="C18" s="18" t="str">
        <x:v>三、按预测期限（伪留出）</x:v>
      </x:c>
      <x:c r="D18" s="18" t="str">
        <x:v>三、按预测期限（伪留出）</x:v>
      </x:c>
      <x:c r="E18" s="18" t="str">
        <x:v>三、按预测期限（伪留出）</x:v>
      </x:c>
      <x:c r="F18" s="18" t="str">
        <x:v>三、按预测期限（伪留出）</x:v>
      </x:c>
      <x:c r="G18" s="18" t="str">
        <x:v>三、按预测期限（伪留出）</x:v>
      </x:c>
      <x:c r="H18" s="18" t="str">
        <x:v>三、按预测期限（伪留出）</x:v>
      </x:c>
      <x:c r="I18" s="18" t="str">
        <x:v>三、按预测期限（伪留出）</x:v>
      </x:c>
      <x:c r="J18" s="18" t="str">
        <x:v>三、按预测期限（伪留出）</x:v>
      </x:c>
      <x:c r="K18" s="18" t="str">
        <x:v>三、按预测期限（伪留出）</x:v>
      </x:c>
      <x:c r="L18" s="18" t="str">
        <x:v>三、按预测期限（伪留出）</x:v>
      </x:c>
      <x:c r="M18" s="18" t="str">
        <x:v>三、按预测期限（伪留出）</x:v>
      </x:c>
      <x:c r="N18" s="18" t="str">
        <x:v>三、按预测期限（伪留出）</x:v>
      </x:c>
      <x:c r="O18" s="18" t="str">
        <x:v>三、按预测期限（伪留出）</x:v>
      </x:c>
      <x:c r="P18" s="18" t="str">
        <x:v>三、按预测期限（伪留出）</x:v>
      </x:c>
    </x:row>
    <x:row r="19" ht="28" customHeight="1">
      <x:c r="A19" s="26" t="str">
        <x:v>期限</x:v>
      </x:c>
      <x:c r="B19" s="26" t="str">
        <x:v>版本</x:v>
      </x:c>
      <x:c r="C19" s="26" t="str">
        <x:v>收入MAPE</x:v>
      </x:c>
      <x:c r="D19" s="26" t="str">
        <x:v>利润率误差pp</x:v>
      </x:c>
      <x:c r="E19" s="26" t="str">
        <x:v>收入方向</x:v>
      </x:c>
      <x:c r="F19" s="26" t="str">
        <x:v>收入覆盖</x:v>
      </x:c>
      <x:c r="G19" s="26" t="str">
        <x:v>利润覆盖</x:v>
      </x:c>
      <x:c r="H19" s="26" t="str">
        <x:v>利润区间分数</x:v>
      </x:c>
    </x:row>
    <x:row r="20">
      <x:c r="A20" t="str">
        <x:v>1年</x:v>
      </x:c>
      <x:c r="B20" t="str">
        <x:v>v6.1</x:v>
      </x:c>
      <x:c r="C20" s="32" t="n">
        <x:v>0.05363785589110276</x:v>
      </x:c>
      <x:c r="D20" s="34" t="n">
        <x:v>2.0555498176081533</x:v>
      </x:c>
      <x:c r="E20" s="32" t="n">
        <x:v>1</x:v>
      </x:c>
      <x:c r="F20" s="32" t="n">
        <x:v>0.75</x:v>
      </x:c>
      <x:c r="G20" s="32" t="n">
        <x:v>0.75</x:v>
      </x:c>
      <x:c r="H20" s="36" t="n">
        <x:v>0.18435432526260556</x:v>
      </x:c>
    </x:row>
    <x:row r="21">
      <x:c r="A21" t="str">
        <x:v>1年</x:v>
      </x:c>
      <x:c r="B21" t="str">
        <x:v>v6.2</x:v>
      </x:c>
      <x:c r="C21" s="32" t="n">
        <x:v>0.029122414422282028</x:v>
      </x:c>
      <x:c r="D21" s="34" t="n">
        <x:v>0.9049841422263699</x:v>
      </x:c>
      <x:c r="E21" s="32" t="n">
        <x:v>0.75</x:v>
      </x:c>
      <x:c r="F21" s="32" t="n">
        <x:v>1</x:v>
      </x:c>
      <x:c r="G21" s="32" t="n">
        <x:v>0.75</x:v>
      </x:c>
      <x:c r="H21" s="36" t="n">
        <x:v>0.07883188795810356</x:v>
      </x:c>
    </x:row>
    <x:row r="22">
      <x:c r="A22" t="str">
        <x:v>2年</x:v>
      </x:c>
      <x:c r="B22" t="str">
        <x:v>v6.1</x:v>
      </x:c>
      <x:c r="C22" s="32" t="n">
        <x:v>0.14692302581899933</x:v>
      </x:c>
      <x:c r="D22" s="34" t="n">
        <x:v>2.9241499247604774</x:v>
      </x:c>
      <x:c r="E22" s="32" t="n">
        <x:v>0.5</x:v>
      </x:c>
      <x:c r="F22" s="32" t="n">
        <x:v>0.75</x:v>
      </x:c>
      <x:c r="G22" s="32" t="n">
        <x:v>0.5</x:v>
      </x:c>
      <x:c r="H22" s="36" t="n">
        <x:v>0.23512172097787204</x:v>
      </x:c>
    </x:row>
    <x:row r="23">
      <x:c r="A23" t="str">
        <x:v>2年</x:v>
      </x:c>
      <x:c r="B23" t="str">
        <x:v>v6.2</x:v>
      </x:c>
      <x:c r="C23" s="32" t="n">
        <x:v>0.03661918907207233</x:v>
      </x:c>
      <x:c r="D23" s="34" t="n">
        <x:v>0.2878194503050241</x:v>
      </x:c>
      <x:c r="E23" s="32" t="n">
        <x:v>1</x:v>
      </x:c>
      <x:c r="F23" s="32" t="n">
        <x:v>1</x:v>
      </x:c>
      <x:c r="G23" s="32" t="n">
        <x:v>1</x:v>
      </x:c>
      <x:c r="H23" s="36" t="n">
        <x:v>0.10960228481381304</x:v>
      </x:c>
    </x:row>
    <x:row r="24">
      <x:c r="A24" t="str">
        <x:v>3年</x:v>
      </x:c>
      <x:c r="B24" t="str">
        <x:v>v6.1</x:v>
      </x:c>
      <x:c r="C24" s="32" t="n">
        <x:v>0.1375739773271894</x:v>
      </x:c>
      <x:c r="D24" s="34" t="n">
        <x:v>2.4436444667394683</x:v>
      </x:c>
      <x:c r="E24" s="32" t="n">
        <x:v>0.5</x:v>
      </x:c>
      <x:c r="F24" s="32" t="n">
        <x:v>0.75</x:v>
      </x:c>
      <x:c r="G24" s="32" t="n">
        <x:v>0.75</x:v>
      </x:c>
      <x:c r="H24" s="36" t="n">
        <x:v>0.283261480667934</x:v>
      </x:c>
    </x:row>
    <x:row r="25">
      <x:c r="A25" t="str">
        <x:v>3年</x:v>
      </x:c>
      <x:c r="B25" t="str">
        <x:v>v6.2</x:v>
      </x:c>
      <x:c r="C25" s="32" t="n">
        <x:v>0.04411040777939694</x:v>
      </x:c>
      <x:c r="D25" s="34" t="n">
        <x:v>0.606767266761675</x:v>
      </x:c>
      <x:c r="E25" s="32" t="n">
        <x:v>1</x:v>
      </x:c>
      <x:c r="F25" s="32" t="n">
        <x:v>1</x:v>
      </x:c>
      <x:c r="G25" s="32" t="n">
        <x:v>1</x:v>
      </x:c>
      <x:c r="H25" s="36" t="n">
        <x:v>0.15632109773868397</x:v>
      </x:c>
    </x:row>
    <x:row r="27" ht="21" customHeight="1">
      <x:c r="A27" s="18" t="str">
        <x:v>四、门槛</x:v>
      </x:c>
      <x:c r="B27" s="18" t="str">
        <x:v>四、门槛</x:v>
      </x:c>
      <x:c r="C27" s="18" t="str">
        <x:v>四、门槛</x:v>
      </x:c>
      <x:c r="D27" s="18" t="str">
        <x:v>四、门槛</x:v>
      </x:c>
      <x:c r="E27" s="18" t="str">
        <x:v>四、门槛</x:v>
      </x:c>
      <x:c r="F27" s="18" t="str">
        <x:v>四、门槛</x:v>
      </x:c>
      <x:c r="G27" s="18" t="str">
        <x:v>四、门槛</x:v>
      </x:c>
      <x:c r="H27" s="18" t="str">
        <x:v>四、门槛</x:v>
      </x:c>
      <x:c r="I27" s="18" t="str">
        <x:v>四、门槛</x:v>
      </x:c>
      <x:c r="J27" s="18" t="str">
        <x:v>四、门槛</x:v>
      </x:c>
      <x:c r="K27" s="18" t="str">
        <x:v>四、门槛</x:v>
      </x:c>
      <x:c r="L27" s="18" t="str">
        <x:v>四、门槛</x:v>
      </x:c>
      <x:c r="M27" s="18" t="str">
        <x:v>四、门槛</x:v>
      </x:c>
      <x:c r="N27" s="18" t="str">
        <x:v>四、门槛</x:v>
      </x:c>
      <x:c r="O27" s="18" t="str">
        <x:v>四、门槛</x:v>
      </x:c>
      <x:c r="P27" s="18" t="str">
        <x:v>四、门槛</x:v>
      </x:c>
    </x:row>
    <x:row r="28" ht="28" customHeight="1">
      <x:c r="A28" s="26" t="str">
        <x:v>门槛</x:v>
      </x:c>
      <x:c r="B28" s="26" t="str">
        <x:v>目标</x:v>
      </x:c>
      <x:c r="C28" s="26" t="str">
        <x:v>实际</x:v>
      </x:c>
      <x:c r="D28" s="26" t="str">
        <x:v>状态</x:v>
      </x:c>
      <x:c r="E28" s="26" t="str">
        <x:v>解释</x:v>
      </x:c>
    </x:row>
    <x:row r="29">
      <x:c r="A29" t="str">
        <x:v>收入MAPE</x:v>
      </x:c>
      <x:c r="B29" t="str">
        <x:v>≤10%</x:v>
      </x:c>
      <x:c r="C29" s="32" t="n">
        <x:v>0.03661733709125043</x:v>
      </x:c>
      <x:c r="D29" t="str">
        <x:v>通过</x:v>
      </x:c>
      <x:c r="E29" t="str"/>
    </x:row>
    <x:row r="30">
      <x:c r="A30" t="str">
        <x:v>利润率误差</x:v>
      </x:c>
      <x:c r="B30" t="str">
        <x:v>≤5pp</x:v>
      </x:c>
      <x:c r="C30" s="34" t="n">
        <x:v>0.5998569530976897</x:v>
      </x:c>
      <x:c r="D30" t="str">
        <x:v>通过</x:v>
      </x:c>
      <x:c r="E30" t="str"/>
    </x:row>
    <x:row r="31">
      <x:c r="A31" t="str">
        <x:v>收入方向</x:v>
      </x:c>
      <x:c r="B31" t="str">
        <x:v>≥85%</x:v>
      </x:c>
      <x:c r="C31" s="32" t="n">
        <x:v>0.9166666666666666</x:v>
      </x:c>
      <x:c r="D31" t="str">
        <x:v>通过</x:v>
      </x:c>
      <x:c r="E31" t="str"/>
    </x:row>
    <x:row r="32">
      <x:c r="A32" t="str">
        <x:v>利润符号</x:v>
      </x:c>
      <x:c r="B32" t="str">
        <x:v>≥90%</x:v>
      </x:c>
      <x:c r="C32" s="32" t="n">
        <x:v>1</x:v>
      </x:c>
      <x:c r="D32" t="str">
        <x:v>通过</x:v>
      </x:c>
      <x:c r="E32" t="str"/>
    </x:row>
    <x:row r="33">
      <x:c r="A33" t="str">
        <x:v>收入区间分数改善</x:v>
      </x:c>
      <x:c r="B33" t="str">
        <x:v>≥30%</x:v>
      </x:c>
      <x:c r="C33" s="32" t="n">
        <x:v>0.3771978845414342</x:v>
      </x:c>
      <x:c r="D33" t="str">
        <x:v>通过</x:v>
      </x:c>
      <x:c r="E33" t="str"/>
    </x:row>
    <x:row r="34">
      <x:c r="A34" t="str">
        <x:v>利润区间分数改善</x:v>
      </x:c>
      <x:c r="B34" t="str">
        <x:v>≥30%</x:v>
      </x:c>
      <x:c r="C34" s="32" t="n">
        <x:v>0.5094110428010018</x:v>
      </x:c>
      <x:c r="D34" t="str">
        <x:v>通过</x:v>
      </x:c>
      <x:c r="E34" t="str"/>
    </x:row>
  </x:sheetData>
  <x:mergeCells>
    <x:mergeCell ref="A1:P1"/>
    <x:mergeCell ref="A2:P2"/>
    <x:mergeCell ref="A4:P4"/>
    <x:mergeCell ref="A11:P11"/>
    <x:mergeCell ref="A18:P18"/>
    <x:mergeCell ref="A27:P2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5" hidden="0" customWidth="1"/>
    <x:col min="3" max="3" width="32" hidden="0" customWidth="1"/>
    <x:col min="4" max="4" width="32" hidden="0" customWidth="1"/>
    <x:col min="5" max="5" width="44" hidden="0" customWidth="1"/>
    <x:col min="6" max="6" width="37" hidden="0" customWidth="1"/>
    <x:col min="7" max="7" width="18" hidden="0" customWidth="1"/>
    <x:col min="8" max="8" width="27" hidden="0" customWidth="1"/>
    <x:col min="9" max="9" width="26" hidden="0" customWidth="1"/>
    <x:col min="10" max="10" width="30" hidden="0" customWidth="1"/>
  </x:cols>
  <x:sheetData>
    <x:row r="1" ht="28" customHeight="1">
      <x:c r="A1" s="4" t="str">
        <x:v>失败归因</x:v>
      </x:c>
      <x:c r="B1" s="4" t="str">
        <x:v>失败归因</x:v>
      </x:c>
      <x:c r="C1" s="4" t="str">
        <x:v>失败归因</x:v>
      </x:c>
      <x:c r="D1" s="4" t="str">
        <x:v>失败归因</x:v>
      </x:c>
      <x:c r="E1" s="4" t="str">
        <x:v>失败归因</x:v>
      </x:c>
      <x:c r="F1" s="4" t="str">
        <x:v>失败归因</x:v>
      </x:c>
      <x:c r="G1" s="4" t="str">
        <x:v>失败归因</x:v>
      </x:c>
      <x:c r="H1" s="4" t="str">
        <x:v>失败归因</x:v>
      </x:c>
      <x:c r="I1" s="4" t="str">
        <x:v>失败归因</x:v>
      </x:c>
      <x:c r="J1" s="4" t="str">
        <x:v>失败归因</x:v>
      </x:c>
    </x:row>
    <x:row r="2" ht="35" customHeight="1">
      <x:c r="A2" s="11" t="str">
        <x:v>只将能够跨案例解释误差的机制写入Skill。</x:v>
      </x:c>
      <x:c r="B2" s="11" t="str">
        <x:v>只将能够跨案例解释误差的机制写入Skill。</x:v>
      </x:c>
      <x:c r="C2" s="11" t="str">
        <x:v>只将能够跨案例解释误差的机制写入Skill。</x:v>
      </x:c>
      <x:c r="D2" s="11" t="str">
        <x:v>只将能够跨案例解释误差的机制写入Skill。</x:v>
      </x:c>
      <x:c r="E2" s="11" t="str">
        <x:v>只将能够跨案例解释误差的机制写入Skill。</x:v>
      </x:c>
      <x:c r="F2" s="11" t="str">
        <x:v>只将能够跨案例解释误差的机制写入Skill。</x:v>
      </x:c>
      <x:c r="G2" s="11" t="str">
        <x:v>只将能够跨案例解释误差的机制写入Skill。</x:v>
      </x:c>
      <x:c r="H2" s="11" t="str">
        <x:v>只将能够跨案例解释误差的机制写入Skill。</x:v>
      </x:c>
      <x:c r="I2" s="11" t="str">
        <x:v>只将能够跨案例解释误差的机制写入Skill。</x:v>
      </x:c>
      <x:c r="J2" s="11" t="str">
        <x:v>只将能够跨案例解释误差的机制写入Skill。</x:v>
      </x:c>
    </x:row>
    <x:row r="4" ht="28" customHeight="1">
      <x:c r="A4" s="26" t="str">
        <x:v>错误代码</x:v>
      </x:c>
      <x:c r="B4" s="26" t="str">
        <x:v>公司</x:v>
      </x:c>
      <x:c r="C4" s="26" t="str">
        <x:v>现象</x:v>
      </x:c>
      <x:c r="D4" s="26" t="str">
        <x:v>旧模型假设</x:v>
      </x:c>
      <x:c r="E4" s="26" t="str">
        <x:v>实际机制</x:v>
      </x:c>
      <x:c r="F4" s="26" t="str">
        <x:v>v6.2结构修正</x:v>
      </x:c>
      <x:c r="G4" s="26" t="str">
        <x:v>是否回写留出</x:v>
      </x:c>
      <x:c r="H4" s="26" t="str">
        <x:v>作用域</x:v>
      </x:c>
      <x:c r="I4" s="26" t="str">
        <x:v>风险</x:v>
      </x:c>
      <x:c r="J4" s="26" t="str">
        <x:v>验证</x:v>
      </x:c>
    </x:row>
    <x:row r="5" ht="72" customHeight="1">
      <x:c r="A5" s="54" t="str">
        <x:v>STRUCTURE</x:v>
      </x:c>
      <x:c r="B5" s="54" t="str">
        <x:v>Lam</x:v>
      </x:c>
      <x:c r="C5" s="54" t="str">
        <x:v>两三年收入和利润高估</x:v>
      </x:c>
      <x:c r="D5" s="54" t="str">
        <x:v>CSBG为稳定服务年金</x:v>
      </x:c>
      <x:c r="E5" s="54" t="str">
        <x:v>CSBG含合同服务、备件、升级和Reliant成熟节点设备，受利用率与周期影响</x:v>
      </x:c>
      <x:c r="F5" s="54" t="str">
        <x:v>CSBG四分法</x:v>
      </x:c>
      <x:c r="G5" s="54" t="str">
        <x:v>否</x:v>
      </x:c>
      <x:c r="H5" s="54" t="str">
        <x:v>wafer-fab-equipment</x:v>
      </x:c>
      <x:c r="I5" s="54" t="str">
        <x:v>拆分数据不总是公开</x:v>
      </x:c>
      <x:c r="J5" s="54" t="str">
        <x:v>FY24 CSBG也下降</x:v>
      </x:c>
    </x:row>
    <x:row r="6" ht="72" customHeight="1">
      <x:c r="A6" s="54" t="str">
        <x:v>STATE</x:v>
      </x:c>
      <x:c r="B6" s="54" t="str">
        <x:v>Lam</x:v>
      </x:c>
      <x:c r="C6" s="54" t="str">
        <x:v>memory总量无法解释FY24</x:v>
      </x:c>
      <x:c r="D6" s="54" t="str">
        <x:v>memory WFE同方向</x:v>
      </x:c>
      <x:c r="E6" s="54" t="str">
        <x:v>NAND/NVM和DRAM周期错位，foundry/logic与中国需求也不同</x:v>
      </x:c>
      <x:c r="F6" s="54" t="str">
        <x:v>客户支出cohort与地域overlay</x:v>
      </x:c>
      <x:c r="G6" s="54" t="str">
        <x:v>否</x:v>
      </x:c>
      <x:c r="H6" s="54" t="str">
        <x:v>wafer-fab-equipment</x:v>
      </x:c>
      <x:c r="I6" s="54" t="str">
        <x:v>小样本</x:v>
      </x:c>
      <x:c r="J6" s="54" t="str">
        <x:v>FY23–25 mix</x:v>
      </x:c>
    </x:row>
    <x:row r="7" ht="72" customHeight="1">
      <x:c r="A7" s="54" t="str">
        <x:v>TIMING</x:v>
      </x:c>
      <x:c r="B7" s="54" t="str">
        <x:v>Lam/KLA</x:v>
      </x:c>
      <x:c r="C7" s="54" t="str">
        <x:v>递延收入保护被高估</x:v>
      </x:c>
      <x:c r="D7" s="54" t="str">
        <x:v>deferred/RPO近端转收入</x:v>
      </x:c>
      <x:c r="E7" s="54" t="str">
        <x:v>客户预付、待验收工具、未来服务以及长期RPO期限不同</x:v>
      </x:c>
      <x:c r="F7" s="54" t="str">
        <x:v>收入质量与转化桶</x:v>
      </x:c>
      <x:c r="G7" s="54" t="str">
        <x:v>否</x:v>
      </x:c>
      <x:c r="H7" s="54" t="str">
        <x:v>equipment/process-control</x:v>
      </x:c>
      <x:c r="I7" s="54" t="str">
        <x:v>公开拆分有限</x:v>
      </x:c>
      <x:c r="J7" s="54" t="str">
        <x:v>RPO/合同负债</x:v>
      </x:c>
    </x:row>
    <x:row r="8" ht="72" customHeight="1">
      <x:c r="A8" s="54" t="str">
        <x:v>STRUCTURE</x:v>
      </x:c>
      <x:c r="B8" s="54" t="str">
        <x:v>KLA</x:v>
      </x:c>
      <x:c r="C8" s="54" t="str">
        <x:v>低估FY21–23增长</x:v>
      </x:c>
      <x:c r="D8" s="54" t="str">
        <x:v>收入≈总WFE×share</x:v>
      </x:c>
      <x:c r="E8" s="54" t="str">
        <x:v>technology-development支出与检测步骤可在capacity WFE前发生</x:v>
      </x:c>
      <x:c r="F8" s="54" t="str">
        <x:v>technology vs capacity spend＋content intensity</x:v>
      </x:c>
      <x:c r="G8" s="54" t="str">
        <x:v>否</x:v>
      </x:c>
      <x:c r="H8" s="54" t="str">
        <x:v>process-control</x:v>
      </x:c>
      <x:c r="I8" s="54" t="str">
        <x:v>步骤强度估计</x:v>
      </x:c>
      <x:c r="J8" s="54" t="str">
        <x:v>类别增长</x:v>
      </x:c>
    </x:row>
    <x:row r="9" ht="72" customHeight="1">
      <x:c r="A9" s="54" t="str">
        <x:v>ACCOUNTING</x:v>
      </x:c>
      <x:c r="B9" s="54" t="str">
        <x:v>KLA</x:v>
      </x:c>
      <x:c r="C9" s="54" t="str">
        <x:v>利润率误差</x:v>
      </x:c>
      <x:c r="D9" s="54" t="str">
        <x:v>固定margin</x:v>
      </x:c>
      <x:c r="E9" s="54" t="str">
        <x:v>Orbotech边界、服务mix、减值/摊销和税影响报告利润</x:v>
      </x:c>
      <x:c r="F9" s="54" t="str">
        <x:v>企业边界与利润桥</x:v>
      </x:c>
      <x:c r="G9" s="54" t="str">
        <x:v>否</x:v>
      </x:c>
      <x:c r="H9" s="54" t="str">
        <x:v>process-control</x:v>
      </x:c>
      <x:c r="I9" s="54" t="str">
        <x:v>非GAAP混用风险</x:v>
      </x:c>
      <x:c r="J9" s="54" t="str">
        <x:v>FY24减值/FY25恢复</x:v>
      </x:c>
    </x:row>
    <x:row r="10" ht="72" customHeight="1">
      <x:c r="A10" s="54" t="str">
        <x:v>OVERFIT</x:v>
      </x:c>
      <x:c r="B10" s="54" t="str">
        <x:v>Sandisk</x:v>
      </x:c>
      <x:c r="C10" s="54" t="str">
        <x:v>新规则可能污染存储</x:v>
      </x:c>
      <x:c r="D10" s="54" t="str">
        <x:v>全局应用新规则</x:v>
      </x:c>
      <x:c r="E10" s="54" t="str">
        <x:v>设备收入质量规则不适用于bit×ASP存储模型</x:v>
      </x:c>
      <x:c r="F10" s="54" t="str">
        <x:v>archetype scope + zero-delta regression</x:v>
      </x:c>
      <x:c r="G10" s="54" t="str">
        <x:v>否</x:v>
      </x:c>
      <x:c r="H10" s="54" t="str">
        <x:v>全Skill治理</x:v>
      </x:c>
      <x:c r="I10" s="54" t="str">
        <x:v>漏做回归</x:v>
      </x:c>
      <x:c r="J10" s="54" t="str">
        <x:v>Sandisk锁定快照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42" hidden="0" customWidth="1"/>
    <x:col min="4" max="4" width="29" hidden="0" customWidth="1"/>
    <x:col min="5" max="5" width="16" hidden="0" customWidth="1"/>
    <x:col min="6" max="6" width="16" hidden="0" customWidth="1"/>
    <x:col min="7" max="7" width="20" hidden="0" customWidth="1"/>
    <x:col min="8" max="8" width="13" hidden="0" customWidth="1"/>
  </x:cols>
  <x:sheetData>
    <x:row r="1" ht="28" customHeight="1">
      <x:c r="A1" s="4" t="str">
        <x:v>Skill v6.2改进</x:v>
      </x:c>
      <x:c r="B1" s="4" t="str">
        <x:v>Skill v6.2改进</x:v>
      </x:c>
      <x:c r="C1" s="4" t="str">
        <x:v>Skill v6.2改进</x:v>
      </x:c>
      <x:c r="D1" s="4" t="str">
        <x:v>Skill v6.2改进</x:v>
      </x:c>
      <x:c r="E1" s="4" t="str">
        <x:v>Skill v6.2改进</x:v>
      </x:c>
      <x:c r="F1" s="4" t="str">
        <x:v>Skill v6.2改进</x:v>
      </x:c>
      <x:c r="G1" s="4" t="str">
        <x:v>Skill v6.2改进</x:v>
      </x:c>
      <x:c r="H1" s="4" t="str">
        <x:v>Skill v6.2改进</x:v>
      </x:c>
      <x:c r="I1" s="4" t="str">
        <x:v>Skill v6.2改进</x:v>
      </x:c>
      <x:c r="J1" s="4" t="str">
        <x:v>Skill v6.2改进</x:v>
      </x:c>
    </x:row>
    <x:row r="2" ht="35" customHeight="1">
      <x:c r="A2" s="11" t="str">
        <x:v>包版本1.2.0。新增规则必须通过新留出、旧benchmark和非目标原型回归。</x:v>
      </x:c>
      <x:c r="B2" s="11" t="str">
        <x:v>包版本1.2.0。新增规则必须通过新留出、旧benchmark和非目标原型回归。</x:v>
      </x:c>
      <x:c r="C2" s="11" t="str">
        <x:v>包版本1.2.0。新增规则必须通过新留出、旧benchmark和非目标原型回归。</x:v>
      </x:c>
      <x:c r="D2" s="11" t="str">
        <x:v>包版本1.2.0。新增规则必须通过新留出、旧benchmark和非目标原型回归。</x:v>
      </x:c>
      <x:c r="E2" s="11" t="str">
        <x:v>包版本1.2.0。新增规则必须通过新留出、旧benchmark和非目标原型回归。</x:v>
      </x:c>
      <x:c r="F2" s="11" t="str">
        <x:v>包版本1.2.0。新增规则必须通过新留出、旧benchmark和非目标原型回归。</x:v>
      </x:c>
      <x:c r="G2" s="11" t="str">
        <x:v>包版本1.2.0。新增规则必须通过新留出、旧benchmark和非目标原型回归。</x:v>
      </x:c>
      <x:c r="H2" s="11" t="str">
        <x:v>包版本1.2.0。新增规则必须通过新留出、旧benchmark和非目标原型回归。</x:v>
      </x:c>
      <x:c r="I2" s="11" t="str">
        <x:v>包版本1.2.0。新增规则必须通过新留出、旧benchmark和非目标原型回归。</x:v>
      </x:c>
      <x:c r="J2" s="11" t="str">
        <x:v>包版本1.2.0。新增规则必须通过新留出、旧benchmark和非目标原型回归。</x:v>
      </x:c>
    </x:row>
    <x:row r="4" ht="28" customHeight="1">
      <x:c r="A4" s="26" t="str">
        <x:v>模块</x:v>
      </x:c>
      <x:c r="B4" s="26" t="str">
        <x:v>新增规则</x:v>
      </x:c>
      <x:c r="C4" s="26" t="str">
        <x:v>文件</x:v>
      </x:c>
      <x:c r="D4" s="26" t="str">
        <x:v>自动测试</x:v>
      </x:c>
      <x:c r="E4" s="26" t="str">
        <x:v>对Lam</x:v>
      </x:c>
      <x:c r="F4" s="26" t="str">
        <x:v>对KLA</x:v>
      </x:c>
      <x:c r="G4" s="26" t="str">
        <x:v>对Sandisk</x:v>
      </x:c>
      <x:c r="H4" s="26" t="str">
        <x:v>状态</x:v>
      </x:c>
    </x:row>
    <x:row r="5" ht="58" customHeight="1">
      <x:c r="A5" s="54" t="str">
        <x:v>原型作用域</x:v>
      </x:c>
      <x:c r="B5" s="54" t="str">
        <x:v>每项规则声明applies_to；不匹配原型不得传播</x:v>
      </x:c>
      <x:c r="C5" s="54" t="str">
        <x:v>SKILL.md / operating-archetypes.md</x:v>
      </x:c>
      <x:c r="D5" s="54" t="str">
        <x:v>scope regression</x:v>
      </x:c>
      <x:c r="E5" s="54" t="str">
        <x:v>正向</x:v>
      </x:c>
      <x:c r="F5" s="54" t="str">
        <x:v>正向</x:v>
      </x:c>
      <x:c r="G5" s="54" t="str">
        <x:v>中性/零差异</x:v>
      </x:c>
      <x:c r="H5" s="54" t="str">
        <x:v>已写入</x:v>
      </x:c>
    </x:row>
    <x:row r="6" ht="58" customHeight="1">
      <x:c r="A6" s="54" t="str">
        <x:v>设备收入质量</x:v>
      </x:c>
      <x:c r="B6" s="54" t="str">
        <x:v>CSBG/服务桶拆合同服务、备件、升级、成熟节点设备</x:v>
      </x:c>
      <x:c r="C6" s="54" t="str">
        <x:v>equipment-revenue-quality.md / wafer-fab-equipment.md</x:v>
      </x:c>
      <x:c r="D6" s="54" t="str">
        <x:v>playbook test</x:v>
      </x:c>
      <x:c r="E6" s="54" t="str">
        <x:v>显著正向</x:v>
      </x:c>
      <x:c r="F6" s="54" t="str">
        <x:v>部分适用</x:v>
      </x:c>
      <x:c r="G6" s="54" t="str">
        <x:v>不适用</x:v>
      </x:c>
      <x:c r="H6" s="54" t="str">
        <x:v>已写入</x:v>
      </x:c>
    </x:row>
    <x:row r="7" ht="58" customHeight="1">
      <x:c r="A7" s="54" t="str">
        <x:v>客户支出cohort</x:v>
      </x:c>
      <x:c r="B7" s="54" t="str">
        <x:v>DRAM/NAND/foundry/logic/IDM、地域/出口、技术/容量支出分开</x:v>
      </x:c>
      <x:c r="C7" s="54" t="str">
        <x:v>wafer-fab-equipment.md / process-control.md</x:v>
      </x:c>
      <x:c r="D7" s="54" t="str">
        <x:v>equipment backtest</x:v>
      </x:c>
      <x:c r="E7" s="54" t="str">
        <x:v>显著正向</x:v>
      </x:c>
      <x:c r="F7" s="54" t="str">
        <x:v>显著正向</x:v>
      </x:c>
      <x:c r="G7" s="54" t="str">
        <x:v>不适用</x:v>
      </x:c>
      <x:c r="H7" s="54" t="str">
        <x:v>已写入</x:v>
      </x:c>
    </x:row>
    <x:row r="8" ht="58" customHeight="1">
      <x:c r="A8" s="54" t="str">
        <x:v>递延收入质量</x:v>
      </x:c>
      <x:c r="B8" s="54" t="str">
        <x:v>预付款、待验收系统、服务递延、长期RPO分开</x:v>
      </x:c>
      <x:c r="C8" s="54" t="str">
        <x:v>equipment-revenue-quality.md</x:v>
      </x:c>
      <x:c r="D8" s="54" t="str">
        <x:v>playbook test</x:v>
      </x:c>
      <x:c r="E8" s="54" t="str">
        <x:v>正向</x:v>
      </x:c>
      <x:c r="F8" s="54" t="str">
        <x:v>正向</x:v>
      </x:c>
      <x:c r="G8" s="54" t="str">
        <x:v>RPO规则已存在</x:v>
      </x:c>
      <x:c r="H8" s="54" t="str">
        <x:v>已写入</x:v>
      </x:c>
    </x:row>
    <x:row r="9" ht="58" customHeight="1">
      <x:c r="A9" s="54" t="str">
        <x:v>过程控制方程</x:v>
      </x:c>
      <x:c r="B9" s="54" t="str">
        <x:v>类别×技术开发/产能支出×步骤强度×capture×share</x:v>
      </x:c>
      <x:c r="C9" s="54" t="str">
        <x:v>process-control.md</x:v>
      </x:c>
      <x:c r="D9" s="54" t="str">
        <x:v>equipment backtest</x:v>
      </x:c>
      <x:c r="E9" s="54" t="str">
        <x:v>不适用</x:v>
      </x:c>
      <x:c r="F9" s="54" t="str">
        <x:v>显著正向</x:v>
      </x:c>
      <x:c r="G9" s="54" t="str">
        <x:v>不适用</x:v>
      </x:c>
      <x:c r="H9" s="54" t="str">
        <x:v>已写入</x:v>
      </x:c>
    </x:row>
    <x:row r="10" ht="58" customHeight="1">
      <x:c r="A10" s="54" t="str">
        <x:v>未知领域交接</x:v>
      </x:c>
      <x:c r="B10" s="54" t="str">
        <x:v>无验证原型或关键数据缺失时标记human-required并生成TODO</x:v>
      </x:c>
      <x:c r="C10" s="54" t="str">
        <x:v>SKILL.md / governance.md</x:v>
      </x:c>
      <x:c r="D10" s="54" t="str">
        <x:v>shape test</x:v>
      </x:c>
      <x:c r="E10" s="54" t="str">
        <x:v>治理正向</x:v>
      </x:c>
      <x:c r="F10" s="54" t="str">
        <x:v>治理正向</x:v>
      </x:c>
      <x:c r="G10" s="54" t="str">
        <x:v>治理正向</x:v>
      </x:c>
      <x:c r="H10" s="54" t="str">
        <x:v>已写入</x:v>
      </x:c>
    </x:row>
    <x:row r="11" ht="58" customHeight="1">
      <x:c r="A11" s="54" t="str">
        <x:v>回归矩阵</x:v>
      </x:c>
      <x:c r="B11" s="54" t="str">
        <x:v>新原型回归＋legacy benchmark＋至少一个非目标原型</x:v>
      </x:c>
      <x:c r="C11" s="54" t="str">
        <x:v>backtest-sop.md / scope_regression_check.py</x:v>
      </x:c>
      <x:c r="D11" s="54" t="str">
        <x:v>package self-test</x:v>
      </x:c>
      <x:c r="E11" s="54" t="str">
        <x:v>防过拟合</x:v>
      </x:c>
      <x:c r="F11" s="54" t="str">
        <x:v>防过拟合</x:v>
      </x:c>
      <x:c r="G11" s="54" t="str">
        <x:v>零差异</x:v>
      </x:c>
      <x:c r="H11" s="54" t="str">
        <x:v>已写入</x:v>
      </x:c>
    </x:row>
    <x:row r="12" ht="58" customHeight="1">
      <x:c r="A12" s="54" t="str">
        <x:v>版本</x:v>
      </x:c>
      <x:c r="B12" s="54" t="str">
        <x:v>Skill version 1.2.0，模型方法v6.2</x:v>
      </x:c>
      <x:c r="C12" s="54" t="str">
        <x:v>manifests/changelog</x:v>
      </x:c>
      <x:c r="D12" s="54" t="str">
        <x:v>manifest/hash</x:v>
      </x:c>
      <x:c r="E12" s="54" t="str">
        <x:v>—</x:v>
      </x:c>
      <x:c r="F12" s="54" t="str">
        <x:v>—</x:v>
      </x:c>
      <x:c r="G12" s="54" t="str">
        <x:v>—</x:v>
      </x:c>
      <x:c r="H12" s="54" t="str">
        <x:v>已更新</x:v>
      </x:c>
    </x:row>
    <x:row r="13" ht="58" customHeight="1">
      <x:c r="A13" s="54"/>
      <x:c r="B13" s="54"/>
      <x:c r="C13" s="54"/>
      <x:c r="D13" s="54"/>
      <x:c r="E13" s="54"/>
      <x:c r="F13" s="54"/>
      <x:c r="G13" s="54"/>
      <x:c r="H13" s="54"/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4" hidden="0" customWidth="1"/>
    <x:col min="5" max="5" width="12" hidden="0" customWidth="1"/>
    <x:col min="6" max="6" width="13" hidden="0" customWidth="1"/>
    <x:col min="7" max="7" width="17" hidden="0" customWidth="1"/>
    <x:col min="8" max="8" width="38" hidden="0" customWidth="1"/>
    <x:col min="9" max="9" width="28" hidden="0" customWidth="1"/>
    <x:col min="10" max="10" width="13" hidden="0" customWidth="1"/>
  </x:cols>
  <x:sheetData>
    <x:row r="1" ht="28" customHeight="1">
      <x:c r="A1" s="4" t="str">
        <x:v>Sandisk锁定快照回归</x:v>
      </x:c>
      <x:c r="B1" s="4" t="str">
        <x:v>Sandisk锁定快照回归</x:v>
      </x:c>
      <x:c r="C1" s="4" t="str">
        <x:v>Sandisk锁定快照回归</x:v>
      </x:c>
      <x:c r="D1" s="4" t="str">
        <x:v>Sandisk锁定快照回归</x:v>
      </x:c>
      <x:c r="E1" s="4" t="str">
        <x:v>Sandisk锁定快照回归</x:v>
      </x:c>
      <x:c r="F1" s="4" t="str">
        <x:v>Sandisk锁定快照回归</x:v>
      </x:c>
      <x:c r="G1" s="4" t="str">
        <x:v>Sandisk锁定快照回归</x:v>
      </x:c>
      <x:c r="H1" s="4" t="str">
        <x:v>Sandisk锁定快照回归</x:v>
      </x:c>
      <x:c r="I1" s="4" t="str">
        <x:v>Sandisk锁定快照回归</x:v>
      </x:c>
      <x:c r="J1" s="4" t="str">
        <x:v>Sandisk锁定快照回归</x:v>
      </x:c>
    </x:row>
    <x:row r="2" ht="35" customHeight="1">
      <x:c r="A2" s="11" t="str">
        <x:v>v6.2设备规则仅适用于wafer-fab-equipment和process-control。Sandisk commodity NAND / enterprise SSD模型不重算点值。</x:v>
      </x:c>
      <x:c r="B2" s="11" t="str">
        <x:v>v6.2设备规则仅适用于wafer-fab-equipment和process-control。Sandisk commodity NAND / enterprise SSD模型不重算点值。</x:v>
      </x:c>
      <x:c r="C2" s="11" t="str">
        <x:v>v6.2设备规则仅适用于wafer-fab-equipment和process-control。Sandisk commodity NAND / enterprise SSD模型不重算点值。</x:v>
      </x:c>
      <x:c r="D2" s="11" t="str">
        <x:v>v6.2设备规则仅适用于wafer-fab-equipment和process-control。Sandisk commodity NAND / enterprise SSD模型不重算点值。</x:v>
      </x:c>
      <x:c r="E2" s="11" t="str">
        <x:v>v6.2设备规则仅适用于wafer-fab-equipment和process-control。Sandisk commodity NAND / enterprise SSD模型不重算点值。</x:v>
      </x:c>
      <x:c r="F2" s="11" t="str">
        <x:v>v6.2设备规则仅适用于wafer-fab-equipment和process-control。Sandisk commodity NAND / enterprise SSD模型不重算点值。</x:v>
      </x:c>
      <x:c r="G2" s="11" t="str">
        <x:v>v6.2设备规则仅适用于wafer-fab-equipment和process-control。Sandisk commodity NAND / enterprise SSD模型不重算点值。</x:v>
      </x:c>
      <x:c r="H2" s="11" t="str">
        <x:v>v6.2设备规则仅适用于wafer-fab-equipment和process-control。Sandisk commodity NAND / enterprise SSD模型不重算点值。</x:v>
      </x:c>
      <x:c r="I2" s="11" t="str">
        <x:v>v6.2设备规则仅适用于wafer-fab-equipment和process-control。Sandisk commodity NAND / enterprise SSD模型不重算点值。</x:v>
      </x:c>
      <x:c r="J2" s="11" t="str">
        <x:v>v6.2设备规则仅适用于wafer-fab-equipment和process-control。Sandisk commodity NAND / enterprise SSD模型不重算点值。</x:v>
      </x:c>
    </x:row>
    <x:row r="4" ht="28" customHeight="1">
      <x:c r="A4" s="26" t="str">
        <x:v>指标</x:v>
      </x:c>
      <x:c r="B4" s="26" t="str">
        <x:v>v6.1锁定值</x:v>
      </x:c>
      <x:c r="C4" s="26" t="str">
        <x:v>v6.2候选值</x:v>
      </x:c>
      <x:c r="D4" s="26" t="str">
        <x:v>差异</x:v>
      </x:c>
      <x:c r="E4" s="26" t="str">
        <x:v>容忍度</x:v>
      </x:c>
      <x:c r="F4" s="26" t="str">
        <x:v>状态</x:v>
      </x:c>
      <x:c r="G4" s="26" t="str">
        <x:v>作用判断</x:v>
      </x:c>
      <x:c r="H4" s="26" t="str">
        <x:v>原因</x:v>
      </x:c>
      <x:c r="I4" s="26" t="str">
        <x:v>来源快照</x:v>
      </x:c>
      <x:c r="J4" s="26" t="str">
        <x:v>备注</x:v>
      </x:c>
    </x:row>
    <x:row r="5">
      <x:c r="A5" t="str">
        <x:v>FY27营业收入</x:v>
      </x:c>
      <x:c r="B5" s="56" t="n">
        <x:v>32.88074079715288</x:v>
      </x:c>
      <x:c r="C5" s="56" t="n">
        <x:v>32.88074079715288</x:v>
      </x:c>
      <x:c r="D5" s="56" t="n">
        <x:f>C5-B5</x:f>
        <x:v>0</x:v>
      </x:c>
      <x:c r="E5" s="56" t="n">
        <x:v>0</x:v>
      </x:c>
      <x:c r="F5" t="str">
        <x:f>IF(ABS(D5)&lt;=E5,"通过","失败")</x:f>
        <x:v>通过</x:v>
      </x:c>
      <x:c r="G5" t="str">
        <x:v>中性</x:v>
      </x:c>
      <x:c r="H5" t="str">
        <x:v>设备规则不适用</x:v>
      </x:c>
      <x:c r="I5" t="str">
        <x:v>Sandisk五年模型</x:v>
      </x:c>
      <x:c r="J5" t="str">
        <x:v>$bn</x:v>
      </x:c>
    </x:row>
    <x:row r="6">
      <x:c r="A6" t="str">
        <x:v>FY28营业收入</x:v>
      </x:c>
      <x:c r="B6" s="56" t="n">
        <x:v>26.038086338983124</x:v>
      </x:c>
      <x:c r="C6" s="56" t="n">
        <x:v>26.038086338983124</x:v>
      </x:c>
      <x:c r="D6" s="56" t="n">
        <x:f>C6-B6</x:f>
        <x:v>0</x:v>
      </x:c>
      <x:c r="E6" s="56" t="n">
        <x:v>0</x:v>
      </x:c>
      <x:c r="F6" t="str">
        <x:f>IF(ABS(D6)&lt;=E6,"通过","失败")</x:f>
        <x:v>通过</x:v>
      </x:c>
      <x:c r="G6" t="str">
        <x:v>中性</x:v>
      </x:c>
      <x:c r="H6" t="str">
        <x:v>同上</x:v>
      </x:c>
      <x:c r="I6" t="str">
        <x:v>Sandisk五年模型</x:v>
      </x:c>
      <x:c r="J6" t="str">
        <x:v>$bn</x:v>
      </x:c>
    </x:row>
    <x:row r="7">
      <x:c r="A7" t="str">
        <x:v>FY29营业收入</x:v>
      </x:c>
      <x:c r="B7" s="56" t="n">
        <x:v>23.822209507382762</x:v>
      </x:c>
      <x:c r="C7" s="56" t="n">
        <x:v>23.822209507382762</x:v>
      </x:c>
      <x:c r="D7" s="56" t="n">
        <x:f>C7-B7</x:f>
        <x:v>0</x:v>
      </x:c>
      <x:c r="E7" s="56" t="n">
        <x:v>0</x:v>
      </x:c>
      <x:c r="F7" t="str">
        <x:f>IF(ABS(D7)&lt;=E7,"通过","失败")</x:f>
        <x:v>通过</x:v>
      </x:c>
      <x:c r="G7" t="str">
        <x:v>中性</x:v>
      </x:c>
      <x:c r="H7" t="str">
        <x:v>同上</x:v>
      </x:c>
      <x:c r="I7" t="str">
        <x:v>Sandisk五年模型</x:v>
      </x:c>
      <x:c r="J7" t="str">
        <x:v>$bn</x:v>
      </x:c>
    </x:row>
    <x:row r="8">
      <x:c r="A8" t="str">
        <x:v>FY30营业收入</x:v>
      </x:c>
      <x:c r="B8" s="56" t="n">
        <x:v>29.19657182052222</x:v>
      </x:c>
      <x:c r="C8" s="56" t="n">
        <x:v>29.19657182052222</x:v>
      </x:c>
      <x:c r="D8" s="56" t="n">
        <x:f>C8-B8</x:f>
        <x:v>0</x:v>
      </x:c>
      <x:c r="E8" s="56" t="n">
        <x:v>0</x:v>
      </x:c>
      <x:c r="F8" t="str">
        <x:f>IF(ABS(D8)&lt;=E8,"通过","失败")</x:f>
        <x:v>通过</x:v>
      </x:c>
      <x:c r="G8" t="str">
        <x:v>中性</x:v>
      </x:c>
      <x:c r="H8" t="str">
        <x:v>同上</x:v>
      </x:c>
      <x:c r="I8" t="str">
        <x:v>Sandisk五年模型</x:v>
      </x:c>
      <x:c r="J8" t="str">
        <x:v>$bn</x:v>
      </x:c>
    </x:row>
    <x:row r="9">
      <x:c r="A9" t="str">
        <x:v>FY31营业收入</x:v>
      </x:c>
      <x:c r="B9" s="56" t="n">
        <x:v>33.26613462073208</x:v>
      </x:c>
      <x:c r="C9" s="56" t="n">
        <x:v>33.26613462073208</x:v>
      </x:c>
      <x:c r="D9" s="56" t="n">
        <x:f>C9-B9</x:f>
        <x:v>0</x:v>
      </x:c>
      <x:c r="E9" s="56" t="n">
        <x:v>0</x:v>
      </x:c>
      <x:c r="F9" t="str">
        <x:f>IF(ABS(D9)&lt;=E9,"通过","失败")</x:f>
        <x:v>通过</x:v>
      </x:c>
      <x:c r="G9" t="str">
        <x:v>中性</x:v>
      </x:c>
      <x:c r="H9" t="str">
        <x:v>同上</x:v>
      </x:c>
      <x:c r="I9" t="str">
        <x:v>Sandisk五年模型</x:v>
      </x:c>
      <x:c r="J9" t="str">
        <x:v>$bn</x:v>
      </x:c>
    </x:row>
    <x:row r="10">
      <x:c r="A10" t="str">
        <x:v>FY27 EPS</x:v>
      </x:c>
      <x:c r="B10" s="58" t="n">
        <x:v>129.99556864162966</x:v>
      </x:c>
      <x:c r="C10" s="58" t="n">
        <x:v>129.99556864162966</x:v>
      </x:c>
      <x:c r="D10" s="58" t="n">
        <x:f>C10-B10</x:f>
        <x:v>0</x:v>
      </x:c>
      <x:c r="E10" s="58" t="n">
        <x:v>0</x:v>
      </x:c>
      <x:c r="F10" t="str">
        <x:f>IF(ABS(D10)&lt;=E10,"通过","失败")</x:f>
        <x:v>通过</x:v>
      </x:c>
      <x:c r="G10" t="str">
        <x:v>中性</x:v>
      </x:c>
      <x:c r="H10" t="str">
        <x:v>同上</x:v>
      </x:c>
      <x:c r="I10" t="str">
        <x:v>Sandisk五年模型</x:v>
      </x:c>
      <x:c r="J10" t="str">
        <x:v>$/share</x:v>
      </x:c>
    </x:row>
    <x:row r="11">
      <x:c r="A11" t="str">
        <x:v>FY28 EPS</x:v>
      </x:c>
      <x:c r="B11" s="58" t="n">
        <x:v>88.53285801043495</x:v>
      </x:c>
      <x:c r="C11" s="58" t="n">
        <x:v>88.53285801043495</x:v>
      </x:c>
      <x:c r="D11" s="58" t="n">
        <x:f>C11-B11</x:f>
        <x:v>0</x:v>
      </x:c>
      <x:c r="E11" s="58" t="n">
        <x:v>0</x:v>
      </x:c>
      <x:c r="F11" t="str">
        <x:f>IF(ABS(D11)&lt;=E11,"通过","失败")</x:f>
        <x:v>通过</x:v>
      </x:c>
      <x:c r="G11" t="str">
        <x:v>中性</x:v>
      </x:c>
      <x:c r="H11" t="str">
        <x:v>同上</x:v>
      </x:c>
      <x:c r="I11" t="str">
        <x:v>Sandisk五年模型</x:v>
      </x:c>
      <x:c r="J11" t="str">
        <x:v>$/share</x:v>
      </x:c>
    </x:row>
    <x:row r="12">
      <x:c r="A12" t="str">
        <x:v>FY31 EPS</x:v>
      </x:c>
      <x:c r="B12" s="58" t="n">
        <x:v>111.05656712272187</x:v>
      </x:c>
      <x:c r="C12" s="58" t="n">
        <x:v>111.05656712272187</x:v>
      </x:c>
      <x:c r="D12" s="58" t="n">
        <x:f>C12-B12</x:f>
        <x:v>0</x:v>
      </x:c>
      <x:c r="E12" s="58" t="n">
        <x:v>0</x:v>
      </x:c>
      <x:c r="F12" t="str">
        <x:f>IF(ABS(D12)&lt;=E12,"通过","失败")</x:f>
        <x:v>通过</x:v>
      </x:c>
      <x:c r="G12" t="str">
        <x:v>中性</x:v>
      </x:c>
      <x:c r="H12" t="str">
        <x:v>同上</x:v>
      </x:c>
      <x:c r="I12" t="str">
        <x:v>Sandisk五年模型</x:v>
      </x:c>
      <x:c r="J12" t="str">
        <x:v>$/share</x:v>
      </x:c>
    </x:row>
    <x:row r="13">
      <x:c r="A13" t="str">
        <x:v>Base周期价值低</x:v>
      </x:c>
      <x:c r="B13" s="58" t="n">
        <x:v>1007.7457052366797</x:v>
      </x:c>
      <x:c r="C13" s="58" t="n">
        <x:v>1007.7457052366797</x:v>
      </x:c>
      <x:c r="D13" s="58" t="n">
        <x:f>C13-B13</x:f>
        <x:v>0</x:v>
      </x:c>
      <x:c r="E13" s="58" t="n">
        <x:v>0</x:v>
      </x:c>
      <x:c r="F13" t="str">
        <x:f>IF(ABS(D13)&lt;=E13,"通过","失败")</x:f>
        <x:v>通过</x:v>
      </x:c>
      <x:c r="G13" t="str">
        <x:v>中性</x:v>
      </x:c>
      <x:c r="H13" t="str">
        <x:v>同上</x:v>
      </x:c>
      <x:c r="I13" t="str">
        <x:v>Sandisk五年模型</x:v>
      </x:c>
      <x:c r="J13" t="str">
        <x:v>$/share</x:v>
      </x:c>
    </x:row>
    <x:row r="14">
      <x:c r="A14" t="str">
        <x:v>Base周期价值高</x:v>
      </x:c>
      <x:c r="B14" s="58" t="n">
        <x:v>1209.2948462840154</x:v>
      </x:c>
      <x:c r="C14" s="58" t="n">
        <x:v>1209.2948462840154</x:v>
      </x:c>
      <x:c r="D14" s="58" t="n">
        <x:f>C14-B14</x:f>
        <x:v>0</x:v>
      </x:c>
      <x:c r="E14" s="58" t="n">
        <x:v>0</x:v>
      </x:c>
      <x:c r="F14" t="str">
        <x:f>IF(ABS(D14)&lt;=E14,"通过","失败")</x:f>
        <x:v>通过</x:v>
      </x:c>
      <x:c r="G14" t="str">
        <x:v>中性</x:v>
      </x:c>
      <x:c r="H14" t="str">
        <x:v>同上</x:v>
      </x:c>
      <x:c r="I14" t="str">
        <x:v>Sandisk五年模型</x:v>
      </x:c>
      <x:c r="J14" t="str">
        <x:v>$/share</x:v>
      </x:c>
    </x:row>
    <x:row r="15">
      <x:c r="A15" t="str">
        <x:v>长期价值低</x:v>
      </x:c>
      <x:c r="B15" s="58" t="n">
        <x:v>680.1041862230612</x:v>
      </x:c>
      <x:c r="C15" s="58" t="n">
        <x:v>680.1041862230612</x:v>
      </x:c>
      <x:c r="D15" s="58" t="n">
        <x:f>C15-B15</x:f>
        <x:v>0</x:v>
      </x:c>
      <x:c r="E15" s="58" t="n">
        <x:v>0</x:v>
      </x:c>
      <x:c r="F15" t="str">
        <x:f>IF(ABS(D15)&lt;=E15,"通过","失败")</x:f>
        <x:v>通过</x:v>
      </x:c>
      <x:c r="G15" t="str">
        <x:v>中性</x:v>
      </x:c>
      <x:c r="H15" t="str">
        <x:v>同上</x:v>
      </x:c>
      <x:c r="I15" t="str">
        <x:v>Sandisk五年模型</x:v>
      </x:c>
      <x:c r="J15" t="str">
        <x:v>$/share</x:v>
      </x:c>
    </x:row>
    <x:row r="16">
      <x:c r="A16" t="str">
        <x:v>长期价值中</x:v>
      </x:c>
      <x:c r="B16" s="58" t="n">
        <x:v>860.0212611128536</x:v>
      </x:c>
      <x:c r="C16" s="58" t="n">
        <x:v>860.0212611128536</x:v>
      </x:c>
      <x:c r="D16" s="58" t="n">
        <x:f>C16-B16</x:f>
        <x:v>0</x:v>
      </x:c>
      <x:c r="E16" s="58" t="n">
        <x:v>0</x:v>
      </x:c>
      <x:c r="F16" t="str">
        <x:f>IF(ABS(D16)&lt;=E16,"通过","失败")</x:f>
        <x:v>通过</x:v>
      </x:c>
      <x:c r="G16" t="str">
        <x:v>中性</x:v>
      </x:c>
      <x:c r="H16" t="str">
        <x:v>同上</x:v>
      </x:c>
      <x:c r="I16" t="str">
        <x:v>Sandisk五年模型</x:v>
      </x:c>
      <x:c r="J16" t="str">
        <x:v>$/share</x:v>
      </x:c>
    </x:row>
    <x:row r="17">
      <x:c r="A17" t="str">
        <x:v>长期价值高</x:v>
      </x:c>
      <x:c r="B17" s="58" t="n">
        <x:v>1170.1803335504778</x:v>
      </x:c>
      <x:c r="C17" s="58" t="n">
        <x:v>1170.1803335504778</x:v>
      </x:c>
      <x:c r="D17" s="58" t="n">
        <x:f>C17-B17</x:f>
        <x:v>0</x:v>
      </x:c>
      <x:c r="E17" s="58" t="n">
        <x:v>0</x:v>
      </x:c>
      <x:c r="F17" t="str">
        <x:f>IF(ABS(D17)&lt;=E17,"通过","失败")</x:f>
        <x:v>通过</x:v>
      </x:c>
      <x:c r="G17" t="str">
        <x:v>中性</x:v>
      </x:c>
      <x:c r="H17" t="str">
        <x:v>同上</x:v>
      </x:c>
      <x:c r="I17" t="str">
        <x:v>Sandisk五年模型</x:v>
      </x:c>
      <x:c r="J17" t="str">
        <x:v>$/share</x:v>
      </x:c>
    </x:row>
    <x:row r="18">
      <x:c r="A18" t="str">
        <x:v>概率加权周期价值</x:v>
      </x:c>
      <x:c r="B18" s="58" t="n">
        <x:v>1350.2069391681912</x:v>
      </x:c>
      <x:c r="C18" s="58" t="n">
        <x:v>1350.2069391681912</x:v>
      </x:c>
      <x:c r="D18" s="58" t="n">
        <x:f>C18-B18</x:f>
        <x:v>0</x:v>
      </x:c>
      <x:c r="E18" s="58" t="n">
        <x:v>0</x:v>
      </x:c>
      <x:c r="F18" t="str">
        <x:f>IF(ABS(D18)&lt;=E18,"通过","失败")</x:f>
        <x:v>通过</x:v>
      </x:c>
      <x:c r="G18" t="str">
        <x:v>中性</x:v>
      </x:c>
      <x:c r="H18" t="str">
        <x:v>同上</x:v>
      </x:c>
      <x:c r="I18" t="str">
        <x:v>Sandisk五年模型</x:v>
      </x:c>
      <x:c r="J18" t="str">
        <x:v>$/share</x:v>
      </x:c>
    </x:row>
    <x:row r="20" ht="21" customHeight="1">
      <x:c r="A20" s="18" t="str">
        <x:v>结论</x:v>
      </x:c>
      <x:c r="B20" s="18" t="str">
        <x:v>结论</x:v>
      </x:c>
      <x:c r="C20" s="18" t="str">
        <x:v>结论</x:v>
      </x:c>
      <x:c r="D20" s="18" t="str">
        <x:v>结论</x:v>
      </x:c>
      <x:c r="E20" s="18" t="str">
        <x:v>结论</x:v>
      </x:c>
      <x:c r="F20" s="18" t="str">
        <x:v>结论</x:v>
      </x:c>
      <x:c r="G20" s="18" t="str">
        <x:v>结论</x:v>
      </x:c>
      <x:c r="H20" s="18" t="str">
        <x:v>结论</x:v>
      </x:c>
      <x:c r="I20" s="18" t="str">
        <x:v>结论</x:v>
      </x:c>
      <x:c r="J20" s="18" t="str">
        <x:v>结论</x:v>
      </x:c>
    </x:row>
    <x:row r="21">
      <x:c r="A21" s="84" t="str">
        <x:v>数值影响：中性，全部锁定指标零差异。方法论影响：正向——v6.2明确了规则作用域、非目标原型回归和human-required机制，减少以后把设备公司的服务/RPO逻辑错误传播到Sandisk bit×ASP、JV和合同模型中的风险。</x:v>
      </x:c>
      <x:c r="B21" s="84"/>
      <x:c r="C21" s="84"/>
      <x:c r="D21" s="84"/>
      <x:c r="E21" s="84"/>
      <x:c r="F21" s="84"/>
      <x:c r="G21" s="84"/>
      <x:c r="H21" s="84"/>
      <x:c r="I21" s="84"/>
      <x:c r="J21" s="84"/>
    </x:row>
    <x:row r="22">
      <x:c r="A22" s="84"/>
      <x:c r="B22" s="84"/>
      <x:c r="C22" s="84"/>
      <x:c r="D22" s="84"/>
      <x:c r="E22" s="84"/>
      <x:c r="F22" s="84"/>
      <x:c r="G22" s="84"/>
      <x:c r="H22" s="84"/>
      <x:c r="I22" s="84"/>
      <x:c r="J22" s="84"/>
    </x:row>
    <x:row r="23">
      <x:c r="A23" s="84"/>
      <x:c r="B23" s="84"/>
      <x:c r="C23" s="84"/>
      <x:c r="D23" s="84"/>
      <x:c r="E23" s="84"/>
      <x:c r="F23" s="84"/>
      <x:c r="G23" s="84"/>
      <x:c r="H23" s="84"/>
      <x:c r="I23" s="84"/>
      <x:c r="J23" s="84"/>
    </x:row>
    <x:row r="24">
      <x:c r="A24" s="84"/>
      <x:c r="B24" s="84"/>
      <x:c r="C24" s="84"/>
      <x:c r="D24" s="84"/>
      <x:c r="E24" s="84"/>
      <x:c r="F24" s="84"/>
      <x:c r="G24" s="84"/>
      <x:c r="H24" s="84"/>
      <x:c r="I24" s="84"/>
      <x:c r="J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</x:row>
  </x:sheetData>
  <x:mergeCells>
    <x:mergeCell ref="A1:J1"/>
    <x:mergeCell ref="A2:J2"/>
    <x:mergeCell ref="A20:J20"/>
    <x:mergeCell ref="A21:J25"/>
  </x:mergeCells>
  <x:conditionalFormatting sqref="F5:F18">
    <x:cfRule type="expression" dxfId="2" priority="1">
      <x:formula>F5="通过"</x:formula>
    </x:cfRule>
    <x:cfRule type="expression" dxfId="3" priority="2">
      <x:formula>F5="失败"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9" hidden="0" customWidth="1"/>
    <x:col min="3" max="3" width="24" hidden="0" customWidth="1"/>
    <x:col min="4" max="4" width="48" hidden="0" customWidth="1"/>
    <x:col min="5" max="5" width="30" hidden="0" customWidth="1"/>
    <x:col min="6" max="6" width="18" hidden="0" customWidth="1"/>
    <x:col min="7" max="7" width="42" hidden="0" customWidth="1"/>
    <x:col min="8" max="8" width="24" hidden="0" customWidth="1"/>
    <x:col min="9" max="9" width="27" hidden="0" customWidth="1"/>
    <x:col min="10" max="10" width="15" hidden="0" customWidth="1"/>
  </x:cols>
  <x:sheetData>
    <x:row r="1" ht="28" customHeight="1">
      <x:c r="A1" s="4" t="str">
        <x:v>下一轮待办与Human-required清单</x:v>
      </x:c>
      <x:c r="B1" s="4" t="str">
        <x:v>下一轮待办与Human-required清单</x:v>
      </x:c>
      <x:c r="C1" s="4" t="str">
        <x:v>下一轮待办与Human-required清单</x:v>
      </x:c>
      <x:c r="D1" s="4" t="str">
        <x:v>下一轮待办与Human-required清单</x:v>
      </x:c>
      <x:c r="E1" s="4" t="str">
        <x:v>下一轮待办与Human-required清单</x:v>
      </x:c>
      <x:c r="F1" s="4" t="str">
        <x:v>下一轮待办与Human-required清单</x:v>
      </x:c>
      <x:c r="G1" s="4" t="str">
        <x:v>下一轮待办与Human-required清单</x:v>
      </x:c>
      <x:c r="H1" s="4" t="str">
        <x:v>下一轮待办与Human-required清单</x:v>
      </x:c>
      <x:c r="I1" s="4" t="str">
        <x:v>下一轮待办与Human-required清单</x:v>
      </x:c>
      <x:c r="J1" s="4" t="str">
        <x:v>下一轮待办与Human-required清单</x:v>
      </x:c>
    </x:row>
    <x:row r="2" ht="35" customHeight="1">
      <x:c r="A2" s="11" t="str">
        <x:v>下一轮优先Marvell光模块/数据中心互联。互联网平台样本在硬件原型完成后再单独建立新原型，不强行套用。</x:v>
      </x:c>
      <x:c r="B2" s="11" t="str">
        <x:v>下一轮优先Marvell光模块/数据中心互联。互联网平台样本在硬件原型完成后再单独建立新原型，不强行套用。</x:v>
      </x:c>
      <x:c r="C2" s="11" t="str">
        <x:v>下一轮优先Marvell光模块/数据中心互联。互联网平台样本在硬件原型完成后再单独建立新原型，不强行套用。</x:v>
      </x:c>
      <x:c r="D2" s="11" t="str">
        <x:v>下一轮优先Marvell光模块/数据中心互联。互联网平台样本在硬件原型完成后再单独建立新原型，不强行套用。</x:v>
      </x:c>
      <x:c r="E2" s="11" t="str">
        <x:v>下一轮优先Marvell光模块/数据中心互联。互联网平台样本在硬件原型完成后再单独建立新原型，不强行套用。</x:v>
      </x:c>
      <x:c r="F2" s="11" t="str">
        <x:v>下一轮优先Marvell光模块/数据中心互联。互联网平台样本在硬件原型完成后再单独建立新原型，不强行套用。</x:v>
      </x:c>
      <x:c r="G2" s="11" t="str">
        <x:v>下一轮优先Marvell光模块/数据中心互联。互联网平台样本在硬件原型完成后再单独建立新原型，不强行套用。</x:v>
      </x:c>
      <x:c r="H2" s="11" t="str">
        <x:v>下一轮优先Marvell光模块/数据中心互联。互联网平台样本在硬件原型完成后再单独建立新原型，不强行套用。</x:v>
      </x:c>
      <x:c r="I2" s="11" t="str">
        <x:v>下一轮优先Marvell光模块/数据中心互联。互联网平台样本在硬件原型完成后再单独建立新原型，不强行套用。</x:v>
      </x:c>
      <x:c r="J2" s="11" t="str">
        <x:v>下一轮优先Marvell光模块/数据中心互联。互联网平台样本在硬件原型完成后再单独建立新原型，不强行套用。</x:v>
      </x:c>
    </x:row>
    <x:row r="4" ht="28" customHeight="1">
      <x:c r="A4" s="26" t="str">
        <x:v>优先级</x:v>
      </x:c>
      <x:c r="B4" s="26" t="str">
        <x:v>任务</x:v>
      </x:c>
      <x:c r="C4" s="26" t="str">
        <x:v>候选截面</x:v>
      </x:c>
      <x:c r="D4" s="26" t="str">
        <x:v>需要来源</x:v>
      </x:c>
      <x:c r="E4" s="26" t="str">
        <x:v>待验证原型</x:v>
      </x:c>
      <x:c r="F4" s="26" t="str">
        <x:v>自动/人工</x:v>
      </x:c>
      <x:c r="G4" s="26" t="str">
        <x:v>为什么需人工</x:v>
      </x:c>
      <x:c r="H4" s="26" t="str">
        <x:v>交付</x:v>
      </x:c>
      <x:c r="I4" s="26" t="str">
        <x:v>回归集</x:v>
      </x:c>
      <x:c r="J4" s="26" t="str">
        <x:v>状态</x:v>
      </x:c>
    </x:row>
    <x:row r="5" ht="68" customHeight="1">
      <x:c r="A5" s="54" t="str">
        <x:v>P0</x:v>
      </x:c>
      <x:c r="B5" s="54" t="str">
        <x:v>Marvell光互联/定制ASIC</x:v>
      </x:c>
      <x:c r="C5" s="54" t="str">
        <x:v>FY2020、FY2021、FY2022</x:v>
      </x:c>
      <x:c r="D5" s="54" t="str">
        <x:v>10-K、并购边界、DC产品/客户、设计赢单、库存和Actual</x:v>
      </x:c>
      <x:c r="E5" s="54" t="str">
        <x:v>optical/networking/custom-silicon</x:v>
      </x:c>
      <x:c r="F5" s="54" t="str">
        <x:v>人机协同</x:v>
      </x:c>
      <x:c r="G5" s="54" t="str">
        <x:v>产品收入拆分、Inphi并购和客户项目时点不完全公开</x:v>
      </x:c>
      <x:c r="H5" s="54" t="str">
        <x:v>回测＋v6.3</x:v>
      </x:c>
      <x:c r="I5" s="54" t="str">
        <x:v>Lam/KLA/Sandisk/legacy</x:v>
      </x:c>
      <x:c r="J5" s="54" t="str">
        <x:v>下一轮</x:v>
      </x:c>
    </x:row>
    <x:row r="6" ht="68" customHeight="1">
      <x:c r="A6" s="54" t="str">
        <x:v>P1</x:v>
      </x:c>
      <x:c r="B6" s="54" t="str">
        <x:v>AWS高速增长期</x:v>
      </x:c>
      <x:c r="C6" s="54" t="str">
        <x:v>2017–2022多截面</x:v>
      </x:c>
      <x:c r="D6" s="54" t="str">
        <x:v>Amazon 10-K、AWS收入/营业利润、CapEx、租赁、用量/价格</x:v>
      </x:c>
      <x:c r="E6" s="54" t="str">
        <x:v>cloud-infrastructure-platform</x:v>
      </x:c>
      <x:c r="F6" s="54" t="str">
        <x:v>人机协同</x:v>
      </x:c>
      <x:c r="G6" s="54" t="str">
        <x:v>AWS无独立完整资产负债和现金流；内部转移/共享基础设施</x:v>
      </x:c>
      <x:c r="H6" s="54" t="str">
        <x:v>新原型回测</x:v>
      </x:c>
      <x:c r="I6" s="54" t="str">
        <x:v>硬件全回归</x:v>
      </x:c>
      <x:c r="J6" s="54" t="str">
        <x:v>待办</x:v>
      </x:c>
    </x:row>
    <x:row r="7" ht="68" customHeight="1">
      <x:c r="A7" s="54" t="str">
        <x:v>P1</x:v>
      </x:c>
      <x:c r="B7" s="54" t="str">
        <x:v>Netflix高速增长期</x:v>
      </x:c>
      <x:c r="C7" s="54" t="str">
        <x:v>2013–2020多截面</x:v>
      </x:c>
      <x:c r="D7" s="54" t="str">
        <x:v>10-K、订阅用户、ARPU、内容摊销、现金内容支出、债务</x:v>
      </x:c>
      <x:c r="E7" s="54" t="str">
        <x:v>subscription-content-platform</x:v>
      </x:c>
      <x:c r="F7" s="54" t="str">
        <x:v>人机协同</x:v>
      </x:c>
      <x:c r="G7" s="54" t="str">
        <x:v>内容摊销与现金投入差异巨大，当前Skill未验证</x:v>
      </x:c>
      <x:c r="H7" s="54" t="str">
        <x:v>新原型回测</x:v>
      </x:c>
      <x:c r="I7" s="54" t="str">
        <x:v>硬件全回归</x:v>
      </x:c>
      <x:c r="J7" s="54" t="str">
        <x:v>待办</x:v>
      </x:c>
    </x:row>
    <x:row r="8" ht="68" customHeight="1">
      <x:c r="A8" s="54" t="str">
        <x:v>P2</x:v>
      </x:c>
      <x:c r="B8" s="54" t="str">
        <x:v>扩大WFE/process-control样本</x:v>
      </x:c>
      <x:c r="C8" s="54" t="str">
        <x:v>TEL、ASM International、Onto、Nova</x:v>
      </x:c>
      <x:c r="D8" s="54" t="str">
        <x:v>官方年报和分部数据</x:v>
      </x:c>
      <x:c r="E8" s="54" t="str">
        <x:v>equipment/process-control</x:v>
      </x:c>
      <x:c r="F8" s="54" t="str">
        <x:v>人工优先</x:v>
      </x:c>
      <x:c r="G8" s="54" t="str">
        <x:v>会计口径、日元/欧元、分部定义和并购桥</x:v>
      </x:c>
      <x:c r="H8" s="54" t="str">
        <x:v>外部留出</x:v>
      </x:c>
      <x:c r="I8" s="54" t="str">
        <x:v>Lam/KLA</x:v>
      </x:c>
      <x:c r="J8" s="54" t="str">
        <x:v>待办</x:v>
      </x:c>
    </x:row>
    <x:row r="9" ht="68" customHeight="1">
      <x:c r="A9" s="54" t="str">
        <x:v>P2</x:v>
      </x:c>
      <x:c r="B9" s="54" t="str">
        <x:v>真实前瞻滚动</x:v>
      </x:c>
      <x:c r="C9" s="54" t="str">
        <x:v>当前2026模型</x:v>
      </x:c>
      <x:c r="D9" s="54" t="str">
        <x:v>未来财报Actual</x:v>
      </x:c>
      <x:c r="E9" s="54" t="str">
        <x:v>全部</x:v>
      </x:c>
      <x:c r="F9" s="54" t="str">
        <x:v>自动＋人工签字</x:v>
      </x:c>
      <x:c r="G9" s="54" t="str">
        <x:v>这是消除事后偏差的唯一方式</x:v>
      </x:c>
      <x:c r="H9" s="54" t="str">
        <x:v>季度scorecard</x:v>
      </x:c>
      <x:c r="I9" s="54" t="str">
        <x:v>全部</x:v>
      </x:c>
      <x:c r="J9" s="54" t="str">
        <x:v>持续</x:v>
      </x:c>
    </x:row>
    <x:row r="10" ht="68" customHeight="1">
      <x:c r="A10" s="54" t="str">
        <x:v>Human-required</x:v>
      </x:c>
      <x:c r="B10" s="54" t="str">
        <x:v>未知领域路由</x:v>
      </x:c>
      <x:c r="C10" s="54" t="str">
        <x:v>任何无已验证原型请求</x:v>
      </x:c>
      <x:c r="D10" s="54" t="str">
        <x:v>行业专属KPI和会计资料</x:v>
      </x:c>
      <x:c r="E10" s="54" t="str">
        <x:v>unknown</x:v>
      </x:c>
      <x:c r="F10" s="54" t="str">
        <x:v>人工</x:v>
      </x:c>
      <x:c r="G10" s="54" t="str">
        <x:v>不得用相邻原型猜测关键方程</x:v>
      </x:c>
      <x:c r="H10" s="54" t="str">
        <x:v>TODO清单＋not-decision-ready</x:v>
      </x:c>
      <x:c r="I10" s="54" t="str">
        <x:v>不适用</x:v>
      </x:c>
      <x:c r="J10" s="54" t="str">
        <x:v>规则生效</x:v>
      </x:c>
    </x:row>
    <x:row r="11" ht="68" customHeight="1">
      <x:c r="A11" s="54" t="str">
        <x:v>Human-required</x:v>
      </x:c>
      <x:c r="B11" s="54" t="str">
        <x:v>关键数据缺失</x:v>
      </x:c>
      <x:c r="C11" s="54" t="str">
        <x:v>客户项目、设计赢单、RPO质量无法复核</x:v>
      </x:c>
      <x:c r="D11" s="54" t="str">
        <x:v>公司/客户/监管/专家</x:v>
      </x:c>
      <x:c r="E11" s="54" t="str">
        <x:v>相关原型</x:v>
      </x:c>
      <x:c r="F11" s="54" t="str">
        <x:v>人工</x:v>
      </x:c>
      <x:c r="G11" s="54" t="str">
        <x:v>E3/E4不能升级为硬锚</x:v>
      </x:c>
      <x:c r="H11" s="54" t="str">
        <x:v>问题清单/情景边界</x:v>
      </x:c>
      <x:c r="I11" s="54" t="str">
        <x:v>不适用</x:v>
      </x:c>
      <x:c r="J11" s="54" t="str">
        <x:v>规则生效</x:v>
      </x:c>
    </x:row>
    <x:row r="12" ht="68" customHeight="1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</x:row>
  </x:sheetData>
  <x:mergeCells>
    <x:mergeCell ref="A1:J1"/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8" hidden="0" customWidth="1"/>
    <x:col min="3" max="3" width="17" hidden="0" customWidth="1"/>
    <x:col min="4" max="4" width="12" hidden="0" customWidth="1"/>
    <x:col min="5" max="5" width="53" hidden="0" customWidth="1"/>
    <x:col min="6" max="6" width="28" hidden="0" customWidth="1"/>
    <x:col min="7" max="7" width="16" hidden="0" customWidth="1"/>
    <x:col min="8" max="8" width="36" hidden="0" customWidth="1"/>
    <x:col min="9" max="9" width="68" hidden="0" customWidth="1"/>
    <x:col min="10" max="10" width="25" hidden="0" customWidth="1"/>
  </x:cols>
  <x:sheetData>
    <x:row r="1" ht="28" customHeight="1">
      <x:c r="A1" s="4" t="str">
        <x:v>证据台账</x:v>
      </x:c>
      <x:c r="B1" s="4" t="str">
        <x:v>证据台账</x:v>
      </x:c>
      <x:c r="C1" s="4" t="str">
        <x:v>证据台账</x:v>
      </x:c>
      <x:c r="D1" s="4" t="str">
        <x:v>证据台账</x:v>
      </x:c>
      <x:c r="E1" s="4" t="str">
        <x:v>证据台账</x:v>
      </x:c>
      <x:c r="F1" s="4" t="str">
        <x:v>证据台账</x:v>
      </x:c>
      <x:c r="G1" s="4" t="str">
        <x:v>证据台账</x:v>
      </x:c>
      <x:c r="H1" s="4" t="str">
        <x:v>证据台账</x:v>
      </x:c>
      <x:c r="I1" s="4" t="str">
        <x:v>证据台账</x:v>
      </x:c>
      <x:c r="J1" s="4" t="str">
        <x:v>证据台账</x:v>
      </x:c>
    </x:row>
    <x:row r="2" ht="35" customHeight="1">
      <x:c r="A2" s="11" t="str">
        <x:v>官方10-K为主要事实来源；预测路径为回顾性E3分析师判断。</x:v>
      </x:c>
      <x:c r="B2" s="11" t="str">
        <x:v>官方10-K为主要事实来源；预测路径为回顾性E3分析师判断。</x:v>
      </x:c>
      <x:c r="C2" s="11" t="str">
        <x:v>官方10-K为主要事实来源；预测路径为回顾性E3分析师判断。</x:v>
      </x:c>
      <x:c r="D2" s="11" t="str">
        <x:v>官方10-K为主要事实来源；预测路径为回顾性E3分析师判断。</x:v>
      </x:c>
      <x:c r="E2" s="11" t="str">
        <x:v>官方10-K为主要事实来源；预测路径为回顾性E3分析师判断。</x:v>
      </x:c>
      <x:c r="F2" s="11" t="str">
        <x:v>官方10-K为主要事实来源；预测路径为回顾性E3分析师判断。</x:v>
      </x:c>
      <x:c r="G2" s="11" t="str">
        <x:v>官方10-K为主要事实来源；预测路径为回顾性E3分析师判断。</x:v>
      </x:c>
      <x:c r="H2" s="11" t="str">
        <x:v>官方10-K为主要事实来源；预测路径为回顾性E3分析师判断。</x:v>
      </x:c>
      <x:c r="I2" s="11" t="str">
        <x:v>官方10-K为主要事实来源；预测路径为回顾性E3分析师判断。</x:v>
      </x:c>
      <x:c r="J2" s="11" t="str">
        <x:v>官方10-K为主要事实来源；预测路径为回顾性E3分析师判断。</x:v>
      </x:c>
    </x:row>
    <x:row r="4" ht="28" customHeight="1">
      <x:c r="A4" s="26" t="str">
        <x:v>来源ID</x:v>
      </x:c>
      <x:c r="B4" s="26" t="str">
        <x:v>公司</x:v>
      </x:c>
      <x:c r="C4" s="26" t="str">
        <x:v>期间</x:v>
      </x:c>
      <x:c r="D4" s="26" t="str">
        <x:v>等级</x:v>
      </x:c>
      <x:c r="E4" s="26" t="str">
        <x:v>关键事实</x:v>
      </x:c>
      <x:c r="F4" s="26" t="str">
        <x:v>用于哪里</x:v>
      </x:c>
      <x:c r="G4" s="26" t="str">
        <x:v>截面可见</x:v>
      </x:c>
      <x:c r="H4" s="26" t="str">
        <x:v>限制</x:v>
      </x:c>
      <x:c r="I4" s="26" t="str">
        <x:v>URL</x:v>
      </x:c>
      <x:c r="J4" s="26" t="str">
        <x:v>备注</x:v>
      </x:c>
    </x:row>
    <x:row r="5" ht="58" customHeight="1">
      <x:c r="A5" s="54" t="str">
        <x:v>LRCX_FY2021_10K</x:v>
      </x:c>
      <x:c r="B5" s="54" t="str">
        <x:v>Lam Research</x:v>
      </x:c>
      <x:c r="C5" s="54" t="str">
        <x:v>FY2020/FY2021</x:v>
      </x:c>
      <x:c r="D5" s="54" t="str">
        <x:v>E0/E1</x:v>
      </x:c>
      <x:c r="E5" s="54" t="str">
        <x:v>FY20/21 systems和CSBG；CSBG含服务、备件、升级、Reliant；客户mix；递延收入</x:v>
      </x:c>
      <x:c r="F5" s="54" t="str">
        <x:v>FY20/FY21截面</x:v>
      </x:c>
      <x:c r="G5" s="54" t="str">
        <x:v>按截面</x:v>
      </x:c>
      <x:c r="H5" s="54" t="str">
        <x:v>CSBG子项未完整量化</x:v>
      </x:c>
      <x:c r="I5" s="54" t="str">
        <x:v>https://www.sec.gov/Archives/edgar/data/707549/000070754921000031/lrcx-20210627.htm</x:v>
      </x:c>
      <x:c r="J5" s="54" t="str"/>
    </x:row>
    <x:row r="6" ht="58" customHeight="1">
      <x:c r="A6" s="54" t="str">
        <x:v>LRCX_FY2022_10K</x:v>
      </x:c>
      <x:c r="B6" s="54" t="str">
        <x:v>Lam Research</x:v>
      </x:c>
      <x:c r="C6" s="54" t="str">
        <x:v>FY2022</x:v>
      </x:c>
      <x:c r="D6" s="54" t="str">
        <x:v>E0/E1</x:v>
      </x:c>
      <x:c r="E6" s="54" t="str">
        <x:v>FY22收入172.27亿、营业利润53.82亿；systems/CSBG；memory/foundry/logic mix；递延收入21.98亿</x:v>
      </x:c>
      <x:c r="F6" s="54" t="str">
        <x:v>FY21/FY22截面</x:v>
      </x:c>
      <x:c r="G6" s="54" t="str">
        <x:v>按截面</x:v>
      </x:c>
      <x:c r="H6" s="54" t="str">
        <x:v>后续Actual只用于验证</x:v>
      </x:c>
      <x:c r="I6" s="54" t="str">
        <x:v>https://www.sec.gov/Archives/edgar/data/707549/000070754922000107/lrcx-20220626.htm</x:v>
      </x:c>
      <x:c r="J6" s="54" t="str"/>
    </x:row>
    <x:row r="7" ht="58" customHeight="1">
      <x:c r="A7" s="54" t="str">
        <x:v>LRCX_FY2023_10K</x:v>
      </x:c>
      <x:c r="B7" s="54" t="str">
        <x:v>Lam Research</x:v>
      </x:c>
      <x:c r="C7" s="54" t="str">
        <x:v>FY2023</x:v>
      </x:c>
      <x:c r="D7" s="54" t="str">
        <x:v>E0</x:v>
      </x:c>
      <x:c r="E7" s="54" t="str">
        <x:v>收入174.29亿；systems106.96亿、CSBG67.33亿；H2 WFE尤其memory下调</x:v>
      </x:c>
      <x:c r="F7" s="54" t="str">
        <x:v>Actual/误差归因</x:v>
      </x:c>
      <x:c r="G7" s="54" t="str">
        <x:v>否（对早期）</x:v>
      </x:c>
      <x:c r="H7" s="54" t="str">
        <x:v>只用于验证</x:v>
      </x:c>
      <x:c r="I7" s="54" t="str">
        <x:v>https://www.sec.gov/Archives/edgar/data/707549/000070754923000072/lrcx-20230625.htm</x:v>
      </x:c>
      <x:c r="J7" s="54" t="str"/>
    </x:row>
    <x:row r="8" ht="58" customHeight="1">
      <x:c r="A8" s="54" t="str">
        <x:v>LRCX_FY2024_10K</x:v>
      </x:c>
      <x:c r="B8" s="54" t="str">
        <x:v>Lam Research</x:v>
      </x:c>
      <x:c r="C8" s="54" t="str">
        <x:v>FY2024</x:v>
      </x:c>
      <x:c r="D8" s="54" t="str">
        <x:v>E0</x:v>
      </x:c>
      <x:c r="E8" s="54" t="str">
        <x:v>收入149.05亿、营业利润42.64亿；systems89.22亿、CSBG59.84亿；NVM弱</x:v>
      </x:c>
      <x:c r="F8" s="54" t="str">
        <x:v>Actual/留出</x:v>
      </x:c>
      <x:c r="G8" s="54" t="str">
        <x:v>否</x:v>
      </x:c>
      <x:c r="H8" s="54" t="str">
        <x:v>只用于验证</x:v>
      </x:c>
      <x:c r="I8" s="54" t="str">
        <x:v>https://www.sec.gov/Archives/edgar/data/707549/000070754924000106/lrcx-20240630.htm</x:v>
      </x:c>
      <x:c r="J8" s="54" t="str"/>
    </x:row>
    <x:row r="9" ht="58" customHeight="1">
      <x:c r="A9" s="54" t="str">
        <x:v>LRCX_FY2025_10K</x:v>
      </x:c>
      <x:c r="B9" s="54" t="str">
        <x:v>Lam Research</x:v>
      </x:c>
      <x:c r="C9" s="54" t="str">
        <x:v>FY2025</x:v>
      </x:c>
      <x:c r="D9" s="54" t="str">
        <x:v>E0</x:v>
      </x:c>
      <x:c r="E9" s="54" t="str">
        <x:v>收入184.36亿；systems114.91亿、CSBG69.44亿；营业利润59.01亿</x:v>
      </x:c>
      <x:c r="F9" s="54" t="str">
        <x:v>Actual/留出</x:v>
      </x:c>
      <x:c r="G9" s="54" t="str">
        <x:v>否</x:v>
      </x:c>
      <x:c r="H9" s="54" t="str">
        <x:v>只用于验证</x:v>
      </x:c>
      <x:c r="I9" s="54" t="str">
        <x:v>https://www.sec.gov/Archives/edgar/data/707549/000070754925000075/lrcx-20250629.htm</x:v>
      </x:c>
      <x:c r="J9" s="54" t="str"/>
    </x:row>
    <x:row r="10" ht="58" customHeight="1">
      <x:c r="A10" s="54" t="str">
        <x:v>KLA_FY2020_10K</x:v>
      </x:c>
      <x:c r="B10" s="54" t="str">
        <x:v>KLA</x:v>
      </x:c>
      <x:c r="C10" s="54" t="str">
        <x:v>FY2020</x:v>
      </x:c>
      <x:c r="D10" s="54" t="str">
        <x:v>E0/E1</x:v>
      </x:c>
      <x:c r="E10" s="54" t="str">
        <x:v>收入58.06亿、净利润12.17亿；产品43.29亿、服务14.78亿；Orbotech全年并表</x:v>
      </x:c>
      <x:c r="F10" s="54" t="str">
        <x:v>FY20截面</x:v>
      </x:c>
      <x:c r="G10" s="54" t="str">
        <x:v>是</x:v>
      </x:c>
      <x:c r="H10" s="54" t="str">
        <x:v>企业边界需桥接</x:v>
      </x:c>
      <x:c r="I10" s="54" t="str">
        <x:v>https://www.sec.gov/Archives/edgar/data/319201/000031920120000042/klac-20200630.htm</x:v>
      </x:c>
      <x:c r="J10" s="54" t="str"/>
    </x:row>
    <x:row r="11" ht="58" customHeight="1">
      <x:c r="A11" s="54" t="str">
        <x:v>KLA_FY2021_10K</x:v>
      </x:c>
      <x:c r="B11" s="54" t="str">
        <x:v>KLA</x:v>
      </x:c>
      <x:c r="C11" s="54" t="str">
        <x:v>FY2021</x:v>
      </x:c>
      <x:c r="D11" s="54" t="str">
        <x:v>E0/E1</x:v>
      </x:c>
      <x:c r="E11" s="54" t="str">
        <x:v>收入69.19亿、净利润20.78亿；产品52.40亿、服务16.78亿；客户集中</x:v>
      </x:c>
      <x:c r="F11" s="54" t="str">
        <x:v>FY20/FY21截面</x:v>
      </x:c>
      <x:c r="G11" s="54" t="str">
        <x:v>按截面</x:v>
      </x:c>
      <x:c r="H11" s="54" t="str">
        <x:v>Actual不得用于更早预测</x:v>
      </x:c>
      <x:c r="I11" s="54" t="str">
        <x:v>https://www.sec.gov/Archives/edgar/data/319201/000031920121000038/klac-20210630.htm</x:v>
      </x:c>
      <x:c r="J11" s="54" t="str"/>
    </x:row>
    <x:row r="12" ht="58" customHeight="1">
      <x:c r="A12" s="54" t="str">
        <x:v>KLA_FY2022_10K</x:v>
      </x:c>
      <x:c r="B12" s="54" t="str">
        <x:v>KLA</x:v>
      </x:c>
      <x:c r="C12" s="54" t="str">
        <x:v>FY2022</x:v>
      </x:c>
      <x:c r="D12" s="54" t="str">
        <x:v>E0/E1</x:v>
      </x:c>
      <x:c r="E12" s="54" t="str">
        <x:v>收入92.12亿、净利润33.22亿；类别收入、服务19.10亿、RPO13.11亿及期限</x:v>
      </x:c>
      <x:c r="F12" s="54" t="str">
        <x:v>FY21/FY22截面</x:v>
      </x:c>
      <x:c r="G12" s="54" t="str">
        <x:v>按截面</x:v>
      </x:c>
      <x:c r="H12" s="54" t="str">
        <x:v>RPO不等于一年收入</x:v>
      </x:c>
      <x:c r="I12" s="54" t="str">
        <x:v>https://www.sec.gov/Archives/edgar/data/319201/000031920122000044/klac-20220630.htm</x:v>
      </x:c>
      <x:c r="J12" s="54" t="str"/>
    </x:row>
    <x:row r="13" ht="58" customHeight="1">
      <x:c r="A13" s="54" t="str">
        <x:v>KLA_FY2023_10K</x:v>
      </x:c>
      <x:c r="B13" s="54" t="str">
        <x:v>KLA</x:v>
      </x:c>
      <x:c r="C13" s="54" t="str">
        <x:v>FY2023</x:v>
      </x:c>
      <x:c r="D13" s="54" t="str">
        <x:v>E0</x:v>
      </x:c>
      <x:c r="E13" s="54" t="str">
        <x:v>收入104.96亿、净利润33.87亿</x:v>
      </x:c>
      <x:c r="F13" s="54" t="str">
        <x:v>Actual/留出</x:v>
      </x:c>
      <x:c r="G13" s="54" t="str">
        <x:v>否</x:v>
      </x:c>
      <x:c r="H13" s="54" t="str">
        <x:v>只用于验证</x:v>
      </x:c>
      <x:c r="I13" s="54" t="str">
        <x:v>https://www.sec.gov/Archives/edgar/data/319201/000031920123000024/klac-20230630.htm</x:v>
      </x:c>
      <x:c r="J13" s="54" t="str"/>
    </x:row>
    <x:row r="14" ht="58" customHeight="1">
      <x:c r="A14" s="54" t="str">
        <x:v>KLA_FY2024_10K</x:v>
      </x:c>
      <x:c r="B14" s="54" t="str">
        <x:v>KLA</x:v>
      </x:c>
      <x:c r="C14" s="54" t="str">
        <x:v>FY2024</x:v>
      </x:c>
      <x:c r="D14" s="54" t="str">
        <x:v>E0</x:v>
      </x:c>
      <x:c r="E14" s="54" t="str">
        <x:v>收入98.12亿、净利润27.62亿；产品74.83亿、服务23.30亿；减值2.89亿</x:v>
      </x:c>
      <x:c r="F14" s="54" t="str">
        <x:v>Actual/留出</x:v>
      </x:c>
      <x:c r="G14" s="54" t="str">
        <x:v>否</x:v>
      </x:c>
      <x:c r="H14" s="54" t="str">
        <x:v>只用于验证</x:v>
      </x:c>
      <x:c r="I14" s="54" t="str">
        <x:v>https://www.sec.gov/Archives/edgar/data/319201/000031920124000041/klac-20240630.htm</x:v>
      </x:c>
      <x:c r="J14" s="54" t="str"/>
    </x:row>
    <x:row r="15" ht="58" customHeight="1">
      <x:c r="A15" s="54" t="str">
        <x:v>KLA_FY2025_10K</x:v>
      </x:c>
      <x:c r="B15" s="54" t="str">
        <x:v>KLA</x:v>
      </x:c>
      <x:c r="C15" s="54" t="str">
        <x:v>FY2025</x:v>
      </x:c>
      <x:c r="D15" s="54" t="str">
        <x:v>E0/E1</x:v>
      </x:c>
      <x:c r="E15" s="54" t="str">
        <x:v>收入121.56亿、净利润40.62亿；AI/leading-edge foundry、先进封装和service增长</x:v>
      </x:c>
      <x:c r="F15" s="54" t="str">
        <x:v>Actual/阶段验证</x:v>
      </x:c>
      <x:c r="G15" s="54" t="str">
        <x:v>否</x:v>
      </x:c>
      <x:c r="H15" s="54" t="str">
        <x:v>只用于验证</x:v>
      </x:c>
      <x:c r="I15" s="54" t="str">
        <x:v>https://www.sec.gov/Archives/edgar/data/319201/000031920125000034/klac-20250630.htm</x:v>
      </x:c>
      <x:c r="J15" s="54" t="str"/>
    </x:row>
    <x:row r="16" ht="58" customHeight="1">
      <x:c r="A16" s="54" t="str">
        <x:v>RETRO_FORECASTS</x:v>
      </x:c>
      <x:c r="B16" s="54" t="str">
        <x:v>方法</x:v>
      </x:c>
      <x:c r="C16" s="54" t="str">
        <x:v>本轮</x:v>
      </x:c>
      <x:c r="D16" s="54" t="str">
        <x:v>E3</x:v>
      </x:c>
      <x:c r="E16" s="54" t="str">
        <x:v>v6.1/v6.2点值与区间为回顾性点时点构造</x:v>
      </x:c>
      <x:c r="F16" s="54" t="str">
        <x:v>全部预测</x:v>
      </x:c>
      <x:c r="G16" s="54" t="str">
        <x:v>不适用</x:v>
      </x:c>
      <x:c r="H16" s="54" t="str">
        <x:v>已知历史可能导致事后偏差</x:v>
      </x:c>
      <x:c r="I16" s="54" t="str"/>
      <x:c r="J16" s="54" t="str">
        <x:v>不是实盘历史预测</x:v>
      </x:c>
    </x:row>
  </x:sheetData>
  <x:mergeCells>
    <x:mergeCell ref="A1:J1"/>
    <x:mergeCell ref="A2:J2"/>
  </x:mergeCells>
  <x:pageMargins left="0.7" right="0.7" top="0.75" bottom="0.75" header="0.3" footer="0.3"/>
</x:worksheet>
</file>